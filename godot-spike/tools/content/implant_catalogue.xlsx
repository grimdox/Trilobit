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lants" sheetId="1" state="visible" r:id="rId3"/>
    <sheet name="Example Implants" sheetId="2" state="visible" r:id="rId4"/>
    <sheet name="Power Model" sheetId="3" state="visible" r:id="rId5"/>
    <sheet name="Notes" sheetId="4" state="visible" r:id="rId6"/>
  </sheets>
  <definedNames>
    <definedName function="false" hidden="true" localSheetId="1" name="_xlnm._FilterDatabase" vbProcedure="false">'Example Implants'!$A$1:$R$122</definedName>
    <definedName function="false" hidden="true" localSheetId="0" name="_xlnm._FilterDatabase" vbProcedure="false">Implants!$A$1:$O$13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<sst xmlns="http://schemas.openxmlformats.org/spreadsheetml/2006/main" count="976" uniqueCount="534">
  <si>
    <t xml:space="preserve">Name</t>
  </si>
  <si>
    <t xml:space="preserve">Object ID</t>
  </si>
  <si>
    <t xml:space="preserve">Install location</t>
  </si>
  <si>
    <t xml:space="preserve">Grade</t>
  </si>
  <si>
    <t xml:space="preserve">Cost (¥)</t>
  </si>
  <si>
    <t xml:space="preserve">Underground cost (¥)</t>
  </si>
  <si>
    <t xml:space="preserve">Armor</t>
  </si>
  <si>
    <t xml:space="preserve">Armor applies to</t>
  </si>
  <si>
    <t xml:space="preserve">Durability</t>
  </si>
  <si>
    <t xml:space="preserve">Power draw (kJ/h)</t>
  </si>
  <si>
    <t xml:space="preserve">Quality fee (¥/visit)</t>
  </si>
  <si>
    <t xml:space="preserve">Skills / stats modified</t>
  </si>
  <si>
    <t xml:space="preserve">Nanohacks permitted</t>
  </si>
  <si>
    <t xml:space="preserve">Install requirements</t>
  </si>
  <si>
    <t xml:space="preserve">Other benefits / maluses</t>
  </si>
  <si>
    <t xml:space="preserve">Neural Link</t>
  </si>
  <si>
    <t xml:space="preserve">trl_imp_cortex</t>
  </si>
  <si>
    <t xml:space="preserve">Head / cortex</t>
  </si>
  <si>
    <t xml:space="preserve">head</t>
  </si>
  <si>
    <t xml:space="preserve">+4% to hit; aim speed +0.25</t>
  </si>
  <si>
    <t xml:space="preserve">None (buy, empty slot)</t>
  </si>
  <si>
    <t xml:space="preserve">Wireless interface and skull lattice. Live.</t>
  </si>
  <si>
    <t xml:space="preserve">Optic Suite</t>
  </si>
  <si>
    <t xml:space="preserve">trl_imp_optics</t>
  </si>
  <si>
    <t xml:space="preserve">Eyes</t>
  </si>
  <si>
    <t xml:space="preserve">+2% to hit; +5% more at 5+ tiles</t>
  </si>
  <si>
    <t xml:space="preserve">Ranging overlay. Live.</t>
  </si>
  <si>
    <t xml:space="preserve">Thermal Vision</t>
  </si>
  <si>
    <t xml:space="preserve">trl_imp_thermal</t>
  </si>
  <si>
    <t xml:space="preserve">+3% to hit</t>
  </si>
  <si>
    <t xml:space="preserve">Warm bodies show through cover and smoke. Live.</t>
  </si>
  <si>
    <t xml:space="preserve">Dorsal Jump Jets</t>
  </si>
  <si>
    <t xml:space="preserve">trl_imp_jets</t>
  </si>
  <si>
    <t xml:space="preserve">Spine</t>
  </si>
  <si>
    <t xml:space="preserve">Short flight; no falling damage while fuel lasts. Live.</t>
  </si>
  <si>
    <t xml:space="preserve">Reflex Wires</t>
  </si>
  <si>
    <t xml:space="preserve">trl_imp_reflex</t>
  </si>
  <si>
    <t xml:space="preserve">Aim +0.5; dodge blades +10%; dodge bullets +14%; attack speed +10</t>
  </si>
  <si>
    <t xml:space="preserve">Grade 3+ can dodge bullets. Live.</t>
  </si>
  <si>
    <t xml:space="preserve">Synapse Accelerator</t>
  </si>
  <si>
    <t xml:space="preserve">trl_imp_synapse</t>
  </si>
  <si>
    <t xml:space="preserve">Aim +0.5; dodge blades +18%; dodge bullets +26%; attack speed +20</t>
  </si>
  <si>
    <t xml:space="preserve">Military grade. Live.</t>
  </si>
  <si>
    <t xml:space="preserve">Dermal Plating</t>
  </si>
  <si>
    <t xml:space="preserve">trl_imp_dermal</t>
  </si>
  <si>
    <t xml:space="preserve">Dermal</t>
  </si>
  <si>
    <t xml:space="preserve">all limbs</t>
  </si>
  <si>
    <t xml:space="preserve">Stops working when plating wears through. Live.</t>
  </si>
  <si>
    <t xml:space="preserve">Mantis Blades</t>
  </si>
  <si>
    <t xml:space="preserve">trl_imp_mantis</t>
  </si>
  <si>
    <t xml:space="preserve">Arms</t>
  </si>
  <si>
    <t xml:space="preserve">arms</t>
  </si>
  <si>
    <t xml:space="preserve">Attack speed +15</t>
  </si>
  <si>
    <t xml:space="preserve">Unfold when hands are empty; cannot be knocked away. Live.</t>
  </si>
  <si>
    <t xml:space="preserve">Smartlink Palm</t>
  </si>
  <si>
    <t xml:space="preserve">trl_imp_smartlink</t>
  </si>
  <si>
    <t xml:space="preserve">Hands</t>
  </si>
  <si>
    <t xml:space="preserve">+8% to hit with any firearm; aim +0.1</t>
  </si>
  <si>
    <t xml:space="preserve">Gun-to-hand link. Live.</t>
  </si>
  <si>
    <t xml:space="preserve">Leg Actuators</t>
  </si>
  <si>
    <t xml:space="preserve">trl_imp_legs</t>
  </si>
  <si>
    <t xml:space="preserve">Legs</t>
  </si>
  <si>
    <t xml:space="preserve">legs</t>
  </si>
  <si>
    <t xml:space="preserve">Long jumps; softer landings. Live.</t>
  </si>
  <si>
    <t xml:space="preserve">Cardiac Booster</t>
  </si>
  <si>
    <t xml:space="preserve">trl_imp_heart</t>
  </si>
  <si>
    <t xml:space="preserve">Chest / organs</t>
  </si>
  <si>
    <t xml:space="preserve">chest</t>
  </si>
  <si>
    <t xml:space="preserve">Planned: bigger stamina reserve. NOT LIVE.</t>
  </si>
  <si>
    <t xml:space="preserve">Gecko Grip</t>
  </si>
  <si>
    <t xml:space="preserve">trl_imp_grip</t>
  </si>
  <si>
    <t xml:space="preserve">Planned: climb sheer walls. NOT LIVE.</t>
  </si>
  <si>
    <t xml:space="preserve">Durability (also health)</t>
  </si>
  <si>
    <t xml:space="preserve">Latent draw (kJ/h)</t>
  </si>
  <si>
    <t xml:space="preserve">Battery (kJ)</t>
  </si>
  <si>
    <t xml:space="preserve">Quality fee / repair at 100% damage (¥)</t>
  </si>
  <si>
    <t xml:space="preserve">Recharge cost, one week of this implant (¥)</t>
  </si>
  <si>
    <t xml:space="preserve">Full battery recharge cost (¥)</t>
  </si>
  <si>
    <t xml:space="preserve">Skills modified</t>
  </si>
  <si>
    <t xml:space="preserve">Gutterline Trilobit</t>
  </si>
  <si>
    <t xml:space="preserve">trl_imp_x101</t>
  </si>
  <si>
    <t xml:space="preserve">Networking +1</t>
  </si>
  <si>
    <t xml:space="preserve">Networking 2</t>
  </si>
  <si>
    <t xml:space="preserve">Brain implant: holds 2 nanohack slots. Durability gain is minimal. Cheap clinic parts: wear out faster, rattle under load.</t>
  </si>
  <si>
    <t xml:space="preserve">Kowloon Surplus Trilobit</t>
  </si>
  <si>
    <t xml:space="preserve">trl_imp_x102</t>
  </si>
  <si>
    <t xml:space="preserve">Analysis +1</t>
  </si>
  <si>
    <t xml:space="preserve">Analysis 2</t>
  </si>
  <si>
    <t xml:space="preserve">Rustbelt Cyber Trilobit</t>
  </si>
  <si>
    <t xml:space="preserve">trl_imp_x103</t>
  </si>
  <si>
    <t xml:space="preserve">Implementation +1</t>
  </si>
  <si>
    <t xml:space="preserve">Implementation 2</t>
  </si>
  <si>
    <t xml:space="preserve">Backalley Works Trilobit</t>
  </si>
  <si>
    <t xml:space="preserve">trl_imp_x104</t>
  </si>
  <si>
    <t xml:space="preserve">Research +1</t>
  </si>
  <si>
    <t xml:space="preserve">Research 2</t>
  </si>
  <si>
    <t xml:space="preserve">Gutterline Optic</t>
  </si>
  <si>
    <t xml:space="preserve">trl_imp_x105</t>
  </si>
  <si>
    <t xml:space="preserve">Streetwise +1</t>
  </si>
  <si>
    <t xml:space="preserve">Streetwise 2</t>
  </si>
  <si>
    <t xml:space="preserve">Durability gain is minimal. Cheap clinic parts: wear out faster, rattle under load.</t>
  </si>
  <si>
    <t xml:space="preserve">Kowloon Surplus Lens</t>
  </si>
  <si>
    <t xml:space="preserve">trl_imp_x106</t>
  </si>
  <si>
    <t xml:space="preserve">Rustbelt Cyber Scope</t>
  </si>
  <si>
    <t xml:space="preserve">trl_imp_x107</t>
  </si>
  <si>
    <t xml:space="preserve">None</t>
  </si>
  <si>
    <t xml:space="preserve">Backalley Works Reflex Wiring</t>
  </si>
  <si>
    <t xml:space="preserve">trl_imp_x108</t>
  </si>
  <si>
    <t xml:space="preserve">Melee +1</t>
  </si>
  <si>
    <t xml:space="preserve">Melee 2</t>
  </si>
  <si>
    <t xml:space="preserve">Gutterline Balance Rod</t>
  </si>
  <si>
    <t xml:space="preserve">trl_imp_x109</t>
  </si>
  <si>
    <t xml:space="preserve">Dodge +1</t>
  </si>
  <si>
    <t xml:space="preserve">Dodge 2</t>
  </si>
  <si>
    <t xml:space="preserve">Kowloon Surplus Nerve Weave</t>
  </si>
  <si>
    <t xml:space="preserve">trl_imp_x110</t>
  </si>
  <si>
    <t xml:space="preserve">Rustbelt Cyber Lung Pack</t>
  </si>
  <si>
    <t xml:space="preserve">trl_imp_x111</t>
  </si>
  <si>
    <t xml:space="preserve">Manual +1</t>
  </si>
  <si>
    <t xml:space="preserve">Manual 2</t>
  </si>
  <si>
    <t xml:space="preserve">Chest battery. Durability gain is minimal. Cheap clinic parts: wear out faster, rattle under load.</t>
  </si>
  <si>
    <t xml:space="preserve">Backalley Works Heart Pump</t>
  </si>
  <si>
    <t xml:space="preserve">trl_imp_x112</t>
  </si>
  <si>
    <t xml:space="preserve">Grit +1</t>
  </si>
  <si>
    <t xml:space="preserve">Grit 2</t>
  </si>
  <si>
    <t xml:space="preserve">Gutterline Reserve Cell</t>
  </si>
  <si>
    <t xml:space="preserve">trl_imp_x113</t>
  </si>
  <si>
    <t xml:space="preserve">Reserve battery: stores 3x the standard chest battery, no skill bonus. Durability gain is minimal. Cheap clinic parts: wear out faster, rattle under load.</t>
  </si>
  <si>
    <t xml:space="preserve">Kowloon Surplus Dermal Plate</t>
  </si>
  <si>
    <t xml:space="preserve">trl_imp_x114</t>
  </si>
  <si>
    <t xml:space="preserve">Negotiation -1</t>
  </si>
  <si>
    <t xml:space="preserve">Dermal layer: armor-focused, stiff skin costs Negotiation -1. Durability gain is minimal. Cheap clinic parts: wear out faster, rattle under load.</t>
  </si>
  <si>
    <t xml:space="preserve">Rustbelt Cyber Skin Weave</t>
  </si>
  <si>
    <t xml:space="preserve">trl_imp_x115</t>
  </si>
  <si>
    <t xml:space="preserve">Backalley Works Forearm Frame</t>
  </si>
  <si>
    <t xml:space="preserve">trl_imp_x116</t>
  </si>
  <si>
    <t xml:space="preserve">Gutterline Strike Servo</t>
  </si>
  <si>
    <t xml:space="preserve">trl_imp_x117</t>
  </si>
  <si>
    <t xml:space="preserve">Kowloon Surplus Haul Cabling</t>
  </si>
  <si>
    <t xml:space="preserve">trl_imp_x118</t>
  </si>
  <si>
    <t xml:space="preserve">Unarmed +1</t>
  </si>
  <si>
    <t xml:space="preserve">Unarmed 2</t>
  </si>
  <si>
    <t xml:space="preserve">Rustbelt Cyber Smart Palm</t>
  </si>
  <si>
    <t xml:space="preserve">trl_imp_x119</t>
  </si>
  <si>
    <t xml:space="preserve">Backalley Works Fine-Motor Set</t>
  </si>
  <si>
    <t xml:space="preserve">trl_imp_x120</t>
  </si>
  <si>
    <t xml:space="preserve">Engineering +1</t>
  </si>
  <si>
    <t xml:space="preserve">Engineering 2</t>
  </si>
  <si>
    <t xml:space="preserve">Gutterline Tool Fingers</t>
  </si>
  <si>
    <t xml:space="preserve">trl_imp_x121</t>
  </si>
  <si>
    <t xml:space="preserve">Artisan +1</t>
  </si>
  <si>
    <t xml:space="preserve">Artisan 2</t>
  </si>
  <si>
    <t xml:space="preserve">Kowloon Surplus Actuator</t>
  </si>
  <si>
    <t xml:space="preserve">trl_imp_x122</t>
  </si>
  <si>
    <t xml:space="preserve">Rustbelt Cyber Shock Spring</t>
  </si>
  <si>
    <t xml:space="preserve">trl_imp_x123</t>
  </si>
  <si>
    <t xml:space="preserve">Backalley Works Sprint Tendons</t>
  </si>
  <si>
    <t xml:space="preserve">trl_imp_x124</t>
  </si>
  <si>
    <t xml:space="preserve">Halden Medical Trilobit</t>
  </si>
  <si>
    <t xml:space="preserve">trl_imp_x201</t>
  </si>
  <si>
    <t xml:space="preserve">Networking 2; Grit 1</t>
  </si>
  <si>
    <t xml:space="preserve">Brain implant: holds 4 nanohack slots. Reliable street-clinic grade.</t>
  </si>
  <si>
    <t xml:space="preserve">Sumida-Reyes Trilobit</t>
  </si>
  <si>
    <t xml:space="preserve">trl_imp_x202</t>
  </si>
  <si>
    <t xml:space="preserve">Analysis 2; Grit 1</t>
  </si>
  <si>
    <t xml:space="preserve">Brightwater Biomed Trilobit</t>
  </si>
  <si>
    <t xml:space="preserve">trl_imp_x203</t>
  </si>
  <si>
    <t xml:space="preserve">Implementation 2; Grit 1</t>
  </si>
  <si>
    <t xml:space="preserve">Corvane Trilobit</t>
  </si>
  <si>
    <t xml:space="preserve">trl_imp_x204</t>
  </si>
  <si>
    <t xml:space="preserve">Research 2; Grit 1</t>
  </si>
  <si>
    <t xml:space="preserve">Halden Medical Optic</t>
  </si>
  <si>
    <t xml:space="preserve">trl_imp_x205</t>
  </si>
  <si>
    <t xml:space="preserve">Streetwise 2; Grit 1</t>
  </si>
  <si>
    <t xml:space="preserve">Reliable street-clinic grade.</t>
  </si>
  <si>
    <t xml:space="preserve">Sumida-Reyes Lens</t>
  </si>
  <si>
    <t xml:space="preserve">trl_imp_x206</t>
  </si>
  <si>
    <t xml:space="preserve">Brightwater Biomed Scope</t>
  </si>
  <si>
    <t xml:space="preserve">trl_imp_x207</t>
  </si>
  <si>
    <t xml:space="preserve">Ranged +1</t>
  </si>
  <si>
    <t xml:space="preserve">Ranged 2; Grit 1</t>
  </si>
  <si>
    <t xml:space="preserve">Corvane Reflex Wiring</t>
  </si>
  <si>
    <t xml:space="preserve">trl_imp_x208</t>
  </si>
  <si>
    <t xml:space="preserve">Melee 2; Grit 1</t>
  </si>
  <si>
    <t xml:space="preserve">Halden Medical Balance Rod</t>
  </si>
  <si>
    <t xml:space="preserve">trl_imp_x209</t>
  </si>
  <si>
    <t xml:space="preserve">Dodge 2; Grit 1</t>
  </si>
  <si>
    <t xml:space="preserve">Sumida-Reyes Nerve Weave</t>
  </si>
  <si>
    <t xml:space="preserve">trl_imp_x210</t>
  </si>
  <si>
    <t xml:space="preserve">Unarmed 2; Grit 1</t>
  </si>
  <si>
    <t xml:space="preserve">Brightwater Biomed Lung Pack</t>
  </si>
  <si>
    <t xml:space="preserve">trl_imp_x211</t>
  </si>
  <si>
    <t xml:space="preserve">Manual 2; Grit 1</t>
  </si>
  <si>
    <t xml:space="preserve">Chest battery. Reliable street-clinic grade.</t>
  </si>
  <si>
    <t xml:space="preserve">Corvane Heart Pump</t>
  </si>
  <si>
    <t xml:space="preserve">trl_imp_x212</t>
  </si>
  <si>
    <t xml:space="preserve">Halden Medical Reserve Cell</t>
  </si>
  <si>
    <t xml:space="preserve">trl_imp_x213</t>
  </si>
  <si>
    <t xml:space="preserve">Grit 1</t>
  </si>
  <si>
    <t xml:space="preserve">Reserve battery: stores 3x the standard chest battery, no skill bonus. Reliable street-clinic grade.</t>
  </si>
  <si>
    <t xml:space="preserve">Sumida-Reyes Dermal Plate</t>
  </si>
  <si>
    <t xml:space="preserve">trl_imp_x214</t>
  </si>
  <si>
    <t xml:space="preserve">Grit +1; Negotiation -1</t>
  </si>
  <si>
    <t xml:space="preserve">Dermal layer: armor-focused, stiff skin costs Negotiation -1. Reliable street-clinic grade.</t>
  </si>
  <si>
    <t xml:space="preserve">Brightwater Biomed Skin Weave</t>
  </si>
  <si>
    <t xml:space="preserve">trl_imp_x215</t>
  </si>
  <si>
    <t xml:space="preserve">Corvane Forearm Frame</t>
  </si>
  <si>
    <t xml:space="preserve">trl_imp_x216</t>
  </si>
  <si>
    <t xml:space="preserve">Halden Medical Strike Servo</t>
  </si>
  <si>
    <t xml:space="preserve">trl_imp_x217</t>
  </si>
  <si>
    <t xml:space="preserve">Sumida-Reyes Haul Cabling</t>
  </si>
  <si>
    <t xml:space="preserve">trl_imp_x218</t>
  </si>
  <si>
    <t xml:space="preserve">Brightwater Biomed Smart Palm</t>
  </si>
  <si>
    <t xml:space="preserve">trl_imp_x219</t>
  </si>
  <si>
    <t xml:space="preserve">Corvane Fine-Motor Set</t>
  </si>
  <si>
    <t xml:space="preserve">trl_imp_x220</t>
  </si>
  <si>
    <t xml:space="preserve">Engineering 2; Grit 1</t>
  </si>
  <si>
    <t xml:space="preserve">Halden Medical Tool Fingers</t>
  </si>
  <si>
    <t xml:space="preserve">trl_imp_x221</t>
  </si>
  <si>
    <t xml:space="preserve">Artisan 2; Grit 1</t>
  </si>
  <si>
    <t xml:space="preserve">Sumida-Reyes Actuator</t>
  </si>
  <si>
    <t xml:space="preserve">trl_imp_x222</t>
  </si>
  <si>
    <t xml:space="preserve">Brightwater Biomed Shock Spring</t>
  </si>
  <si>
    <t xml:space="preserve">trl_imp_x223</t>
  </si>
  <si>
    <t xml:space="preserve">Corvane Sprint Tendons</t>
  </si>
  <si>
    <t xml:space="preserve">trl_imp_x224</t>
  </si>
  <si>
    <t xml:space="preserve">Aegis-Tanaka Trilobit</t>
  </si>
  <si>
    <t xml:space="preserve">trl_imp_x301</t>
  </si>
  <si>
    <t xml:space="preserve">Networking +2</t>
  </si>
  <si>
    <t xml:space="preserve">Networking 3; Grit 2</t>
  </si>
  <si>
    <t xml:space="preserve">Brain implant: holds 6 nanohack slots. Corporate grade; needs licensed servicing.</t>
  </si>
  <si>
    <t xml:space="preserve">Orlov &amp; Voss Trilobit</t>
  </si>
  <si>
    <t xml:space="preserve">trl_imp_x302</t>
  </si>
  <si>
    <t xml:space="preserve">Analysis +2</t>
  </si>
  <si>
    <t xml:space="preserve">Analysis 3; Grit 2</t>
  </si>
  <si>
    <t xml:space="preserve">Meridian Cybernetics Trilobit</t>
  </si>
  <si>
    <t xml:space="preserve">trl_imp_x303</t>
  </si>
  <si>
    <t xml:space="preserve">Implementation +2</t>
  </si>
  <si>
    <t xml:space="preserve">Implementation 3; Grit 2</t>
  </si>
  <si>
    <t xml:space="preserve">Veyra Dynamics Trilobit</t>
  </si>
  <si>
    <t xml:space="preserve">trl_imp_x304</t>
  </si>
  <si>
    <t xml:space="preserve">Research +2</t>
  </si>
  <si>
    <t xml:space="preserve">Research 3; Grit 2</t>
  </si>
  <si>
    <t xml:space="preserve">Aegis-Tanaka Optic</t>
  </si>
  <si>
    <t xml:space="preserve">trl_imp_x305</t>
  </si>
  <si>
    <t xml:space="preserve">Streetwise +1; Research +1</t>
  </si>
  <si>
    <t xml:space="preserve">Streetwise 2; Research 2; Grit 2</t>
  </si>
  <si>
    <t xml:space="preserve">Corporate grade; needs licensed servicing.</t>
  </si>
  <si>
    <t xml:space="preserve">Orlov &amp; Voss Lens</t>
  </si>
  <si>
    <t xml:space="preserve">trl_imp_x306</t>
  </si>
  <si>
    <t xml:space="preserve">Meridian Cybernetics Scope</t>
  </si>
  <si>
    <t xml:space="preserve">trl_imp_x307</t>
  </si>
  <si>
    <t xml:space="preserve">Ranged +1; Streetwise +1</t>
  </si>
  <si>
    <t xml:space="preserve">Ranged 2; Streetwise 2; Grit 2</t>
  </si>
  <si>
    <t xml:space="preserve">Veyra Dynamics Reflex Wiring</t>
  </si>
  <si>
    <t xml:space="preserve">trl_imp_x308</t>
  </si>
  <si>
    <t xml:space="preserve">Melee +2</t>
  </si>
  <si>
    <t xml:space="preserve">Melee 3; Grit 2</t>
  </si>
  <si>
    <t xml:space="preserve">Aegis-Tanaka Balance Rod</t>
  </si>
  <si>
    <t xml:space="preserve">trl_imp_x309</t>
  </si>
  <si>
    <t xml:space="preserve">Melee +1; Dodge +1</t>
  </si>
  <si>
    <t xml:space="preserve">Melee 2; Dodge 2; Grit 2</t>
  </si>
  <si>
    <t xml:space="preserve">Orlov &amp; Voss Nerve Weave</t>
  </si>
  <si>
    <t xml:space="preserve">trl_imp_x310</t>
  </si>
  <si>
    <t xml:space="preserve">Dodge +2</t>
  </si>
  <si>
    <t xml:space="preserve">Dodge 3; Grit 2</t>
  </si>
  <si>
    <t xml:space="preserve">Meridian Cybernetics Lung Pack</t>
  </si>
  <si>
    <t xml:space="preserve">trl_imp_x311</t>
  </si>
  <si>
    <t xml:space="preserve">Manual +1; Negotiation +1</t>
  </si>
  <si>
    <t xml:space="preserve">Manual 2; Negotiation 2; Grit 2</t>
  </si>
  <si>
    <t xml:space="preserve">Chest battery. Corporate grade; needs licensed servicing.</t>
  </si>
  <si>
    <t xml:space="preserve">Veyra Dynamics Heart Pump</t>
  </si>
  <si>
    <t xml:space="preserve">trl_imp_x312</t>
  </si>
  <si>
    <t xml:space="preserve">Manual +2</t>
  </si>
  <si>
    <t xml:space="preserve">Manual 3; Grit 2</t>
  </si>
  <si>
    <t xml:space="preserve">Aegis-Tanaka Reserve Cell</t>
  </si>
  <si>
    <t xml:space="preserve">trl_imp_x313</t>
  </si>
  <si>
    <t xml:space="preserve">Reserve battery: stores 3x the standard chest battery, no skill bonus. Corporate grade; needs licensed servicing.</t>
  </si>
  <si>
    <t xml:space="preserve">Orlov &amp; Voss Dermal Plate</t>
  </si>
  <si>
    <t xml:space="preserve">trl_imp_x314</t>
  </si>
  <si>
    <t xml:space="preserve">Dermal layer: armor-focused, stiff skin costs Negotiation -1. Corporate grade; needs licensed servicing.</t>
  </si>
  <si>
    <t xml:space="preserve">Meridian Cybernetics Skin Weave</t>
  </si>
  <si>
    <t xml:space="preserve">trl_imp_x315</t>
  </si>
  <si>
    <t xml:space="preserve">Veyra Dynamics Forearm Frame</t>
  </si>
  <si>
    <t xml:space="preserve">trl_imp_x316</t>
  </si>
  <si>
    <t xml:space="preserve">Unarmed +2</t>
  </si>
  <si>
    <t xml:space="preserve">Unarmed 3; Grit 2</t>
  </si>
  <si>
    <t xml:space="preserve">Aegis-Tanaka Strike Servo</t>
  </si>
  <si>
    <t xml:space="preserve">trl_imp_x317</t>
  </si>
  <si>
    <t xml:space="preserve">Melee +1; Manual +1</t>
  </si>
  <si>
    <t xml:space="preserve">Melee 2; Manual 2; Grit 2</t>
  </si>
  <si>
    <t xml:space="preserve">Orlov &amp; Voss Haul Cabling</t>
  </si>
  <si>
    <t xml:space="preserve">trl_imp_x318</t>
  </si>
  <si>
    <t xml:space="preserve">Meridian Cybernetics Smart Palm</t>
  </si>
  <si>
    <t xml:space="preserve">trl_imp_x319</t>
  </si>
  <si>
    <t xml:space="preserve">Ranged +1; Engineering +1</t>
  </si>
  <si>
    <t xml:space="preserve">Ranged 2; Engineering 2; Grit 2</t>
  </si>
  <si>
    <t xml:space="preserve">Veyra Dynamics Fine-Motor Set</t>
  </si>
  <si>
    <t xml:space="preserve">trl_imp_x320</t>
  </si>
  <si>
    <t xml:space="preserve">Engineering +2</t>
  </si>
  <si>
    <t xml:space="preserve">Engineering 3; Grit 2</t>
  </si>
  <si>
    <t xml:space="preserve">Aegis-Tanaka Tool Fingers</t>
  </si>
  <si>
    <t xml:space="preserve">trl_imp_x321</t>
  </si>
  <si>
    <t xml:space="preserve">Artisan +1; Engineering +1</t>
  </si>
  <si>
    <t xml:space="preserve">Artisan 2; Engineering 2; Grit 2</t>
  </si>
  <si>
    <t xml:space="preserve">Orlov &amp; Voss Actuator</t>
  </si>
  <si>
    <t xml:space="preserve">trl_imp_x322</t>
  </si>
  <si>
    <t xml:space="preserve">Meridian Cybernetics Shock Spring</t>
  </si>
  <si>
    <t xml:space="preserve">trl_imp_x323</t>
  </si>
  <si>
    <t xml:space="preserve">Streetwise +1; Grit +1</t>
  </si>
  <si>
    <t xml:space="preserve">Streetwise 2; Grit 2</t>
  </si>
  <si>
    <t xml:space="preserve">Veyra Dynamics Sprint Tendons</t>
  </si>
  <si>
    <t xml:space="preserve">trl_imp_x324</t>
  </si>
  <si>
    <t xml:space="preserve">Kestrel Defense Trilobit</t>
  </si>
  <si>
    <t xml:space="preserve">trl_imp_x401</t>
  </si>
  <si>
    <t xml:space="preserve">Networking 3; Grit 3</t>
  </si>
  <si>
    <t xml:space="preserve">Brain implant: holds 8 nanohack slots. Restricted stock; heavy power draw.</t>
  </si>
  <si>
    <t xml:space="preserve">Volkov Armaments Trilobit</t>
  </si>
  <si>
    <t xml:space="preserve">trl_imp_x402</t>
  </si>
  <si>
    <t xml:space="preserve">Analysis 3; Grit 3</t>
  </si>
  <si>
    <t xml:space="preserve">Blackmere Ordnance Trilobit</t>
  </si>
  <si>
    <t xml:space="preserve">trl_imp_x403</t>
  </si>
  <si>
    <t xml:space="preserve">Implementation 3; Grit 3</t>
  </si>
  <si>
    <t xml:space="preserve">Ironhold Systems Trilobit</t>
  </si>
  <si>
    <t xml:space="preserve">trl_imp_x404</t>
  </si>
  <si>
    <t xml:space="preserve">Research 3; Grit 3</t>
  </si>
  <si>
    <t xml:space="preserve">Kestrel Defense Optic</t>
  </si>
  <si>
    <t xml:space="preserve">trl_imp_x405</t>
  </si>
  <si>
    <t xml:space="preserve">Streetwise +3</t>
  </si>
  <si>
    <t xml:space="preserve">Streetwise 4; Grit 3</t>
  </si>
  <si>
    <t xml:space="preserve">Restricted stock; heavy power draw.</t>
  </si>
  <si>
    <t xml:space="preserve">Volkov Armaments Lens</t>
  </si>
  <si>
    <t xml:space="preserve">trl_imp_x406</t>
  </si>
  <si>
    <t xml:space="preserve">Analysis +2; Ranged +1</t>
  </si>
  <si>
    <t xml:space="preserve">Analysis 3; Ranged 2; Grit 3</t>
  </si>
  <si>
    <t xml:space="preserve">Blackmere Ordnance Scope</t>
  </si>
  <si>
    <t xml:space="preserve">trl_imp_x407</t>
  </si>
  <si>
    <t xml:space="preserve">Ranged +3</t>
  </si>
  <si>
    <t xml:space="preserve">Ranged 4; Grit 3</t>
  </si>
  <si>
    <t xml:space="preserve">Ironhold Systems Reflex Wiring</t>
  </si>
  <si>
    <t xml:space="preserve">trl_imp_x408</t>
  </si>
  <si>
    <t xml:space="preserve">Melee +2; Unarmed +1</t>
  </si>
  <si>
    <t xml:space="preserve">Melee 3; Unarmed 2; Grit 3</t>
  </si>
  <si>
    <t xml:space="preserve">Kestrel Defense Balance Rod</t>
  </si>
  <si>
    <t xml:space="preserve">trl_imp_x409</t>
  </si>
  <si>
    <t xml:space="preserve">Melee +3</t>
  </si>
  <si>
    <t xml:space="preserve">Melee 4; Grit 3</t>
  </si>
  <si>
    <t xml:space="preserve">Volkov Armaments Nerve Weave</t>
  </si>
  <si>
    <t xml:space="preserve">trl_imp_x410</t>
  </si>
  <si>
    <t xml:space="preserve">Dodge +2; Unarmed +1</t>
  </si>
  <si>
    <t xml:space="preserve">Dodge 3; Unarmed 2; Grit 3</t>
  </si>
  <si>
    <t xml:space="preserve">Blackmere Ordnance Lung Pack</t>
  </si>
  <si>
    <t xml:space="preserve">trl_imp_x411</t>
  </si>
  <si>
    <t xml:space="preserve">Manual +3</t>
  </si>
  <si>
    <t xml:space="preserve">Manual 4; Grit 3</t>
  </si>
  <si>
    <t xml:space="preserve">Chest battery. Restricted stock; heavy power draw.</t>
  </si>
  <si>
    <t xml:space="preserve">Ironhold Systems Heart Pump</t>
  </si>
  <si>
    <t xml:space="preserve">trl_imp_x412</t>
  </si>
  <si>
    <t xml:space="preserve">Manual +2; Grit +1</t>
  </si>
  <si>
    <t xml:space="preserve">Manual 3; Grit 3</t>
  </si>
  <si>
    <t xml:space="preserve">Kestrel Defense Reserve Cell</t>
  </si>
  <si>
    <t xml:space="preserve">trl_imp_x413</t>
  </si>
  <si>
    <t xml:space="preserve">Grit 3</t>
  </si>
  <si>
    <t xml:space="preserve">Reserve battery: stores 3x the standard chest battery, no skill bonus. Restricted stock; heavy power draw.</t>
  </si>
  <si>
    <t xml:space="preserve">Volkov Armaments Dermal Plate</t>
  </si>
  <si>
    <t xml:space="preserve">trl_imp_x414</t>
  </si>
  <si>
    <t xml:space="preserve">Grit +2; Negotiation -1</t>
  </si>
  <si>
    <t xml:space="preserve">Dermal layer: armor-focused, stiff skin costs Negotiation -1. Restricted stock; heavy power draw.</t>
  </si>
  <si>
    <t xml:space="preserve">Blackmere Ordnance Skin Weave</t>
  </si>
  <si>
    <t xml:space="preserve">trl_imp_x415</t>
  </si>
  <si>
    <t xml:space="preserve">Ironhold Systems Forearm Frame</t>
  </si>
  <si>
    <t xml:space="preserve">trl_imp_x416</t>
  </si>
  <si>
    <t xml:space="preserve">Unarmed +2; Melee +1</t>
  </si>
  <si>
    <t xml:space="preserve">Unarmed 3; Melee 2; Grit 3</t>
  </si>
  <si>
    <t xml:space="preserve">Kestrel Defense Strike Servo</t>
  </si>
  <si>
    <t xml:space="preserve">trl_imp_x417</t>
  </si>
  <si>
    <t xml:space="preserve">Volkov Armaments Haul Cabling</t>
  </si>
  <si>
    <t xml:space="preserve">trl_imp_x418</t>
  </si>
  <si>
    <t xml:space="preserve">Unarmed +2; Manual +1</t>
  </si>
  <si>
    <t xml:space="preserve">Unarmed 3; Manual 2; Grit 3</t>
  </si>
  <si>
    <t xml:space="preserve">Blackmere Ordnance Smart Palm</t>
  </si>
  <si>
    <t xml:space="preserve">trl_imp_x419</t>
  </si>
  <si>
    <t xml:space="preserve">Ironhold Systems Fine-Motor Set</t>
  </si>
  <si>
    <t xml:space="preserve">trl_imp_x420</t>
  </si>
  <si>
    <t xml:space="preserve">Engineering +2; Manual +1</t>
  </si>
  <si>
    <t xml:space="preserve">Engineering 3; Manual 2; Grit 3</t>
  </si>
  <si>
    <t xml:space="preserve">Kestrel Defense Tool Fingers</t>
  </si>
  <si>
    <t xml:space="preserve">trl_imp_x421</t>
  </si>
  <si>
    <t xml:space="preserve">Artisan +3</t>
  </si>
  <si>
    <t xml:space="preserve">Artisan 4; Grit 3</t>
  </si>
  <si>
    <t xml:space="preserve">Volkov Armaments Actuator</t>
  </si>
  <si>
    <t xml:space="preserve">trl_imp_x422</t>
  </si>
  <si>
    <t xml:space="preserve">Dodge +2; Grit +1</t>
  </si>
  <si>
    <t xml:space="preserve">Dodge 3; Grit 3</t>
  </si>
  <si>
    <t xml:space="preserve">Blackmere Ordnance Shock Spring</t>
  </si>
  <si>
    <t xml:space="preserve">trl_imp_x423</t>
  </si>
  <si>
    <t xml:space="preserve">Ironhold Systems Sprint Tendons</t>
  </si>
  <si>
    <t xml:space="preserve">trl_imp_x424</t>
  </si>
  <si>
    <t xml:space="preserve">Manual +2; Dodge +1</t>
  </si>
  <si>
    <t xml:space="preserve">Manual 3; Dodge 2; Grit 3</t>
  </si>
  <si>
    <t xml:space="preserve">Helix Research Annex Trilobit</t>
  </si>
  <si>
    <t xml:space="preserve">trl_imp_x501</t>
  </si>
  <si>
    <t xml:space="preserve">Networking +3</t>
  </si>
  <si>
    <t xml:space="preserve">Networking 4; Grit 4</t>
  </si>
  <si>
    <t xml:space="preserve">Brain implant: holds 10 nanohack slots. Unproven research unit: may glitch when damaged, needs recalibration after each fight. Price and grade are beyond the current catalogue.</t>
  </si>
  <si>
    <t xml:space="preserve">Project NOCTURNE Trilobit</t>
  </si>
  <si>
    <t xml:space="preserve">trl_imp_x502</t>
  </si>
  <si>
    <t xml:space="preserve">Analysis +3</t>
  </si>
  <si>
    <t xml:space="preserve">Analysis 4; Grit 4</t>
  </si>
  <si>
    <t xml:space="preserve">Omen Labs Trilobit</t>
  </si>
  <si>
    <t xml:space="preserve">trl_imp_x503</t>
  </si>
  <si>
    <t xml:space="preserve">Implementation +3</t>
  </si>
  <si>
    <t xml:space="preserve">Implementation 4; Grit 4</t>
  </si>
  <si>
    <t xml:space="preserve">Sable Institute Trilobit</t>
  </si>
  <si>
    <t xml:space="preserve">trl_imp_x504</t>
  </si>
  <si>
    <t xml:space="preserve">Research +3</t>
  </si>
  <si>
    <t xml:space="preserve">Research 4; Grit 4</t>
  </si>
  <si>
    <t xml:space="preserve">Helix Research Annex Optic</t>
  </si>
  <si>
    <t xml:space="preserve">trl_imp_x505</t>
  </si>
  <si>
    <t xml:space="preserve">Streetwise +4; Research +1</t>
  </si>
  <si>
    <t xml:space="preserve">Streetwise 5; Research 2; Grit 4</t>
  </si>
  <si>
    <t xml:space="preserve">Unproven research unit: may glitch when damaged, needs recalibration after each fight. Price and grade are beyond the current catalogue.</t>
  </si>
  <si>
    <t xml:space="preserve">Project NOCTURNE Lens</t>
  </si>
  <si>
    <t xml:space="preserve">trl_imp_x506</t>
  </si>
  <si>
    <t xml:space="preserve">Analysis +3; Ranged +2</t>
  </si>
  <si>
    <t xml:space="preserve">Analysis 4; Ranged 3; Grit 4</t>
  </si>
  <si>
    <t xml:space="preserve">Omen Labs Scope</t>
  </si>
  <si>
    <t xml:space="preserve">trl_imp_x507</t>
  </si>
  <si>
    <t xml:space="preserve">Ranged +4; Streetwise +1</t>
  </si>
  <si>
    <t xml:space="preserve">Ranged 5; Streetwise 2; Grit 4</t>
  </si>
  <si>
    <t xml:space="preserve">Sable Institute Reflex Wiring</t>
  </si>
  <si>
    <t xml:space="preserve">trl_imp_x508</t>
  </si>
  <si>
    <t xml:space="preserve">Melee +3; Unarmed +2</t>
  </si>
  <si>
    <t xml:space="preserve">Melee 4; Unarmed 3; Grit 4</t>
  </si>
  <si>
    <t xml:space="preserve">Helix Research Annex Balance Rod</t>
  </si>
  <si>
    <t xml:space="preserve">trl_imp_x509</t>
  </si>
  <si>
    <t xml:space="preserve">Melee +4; Dodge +1</t>
  </si>
  <si>
    <t xml:space="preserve">Melee 5; Dodge 2; Grit 4</t>
  </si>
  <si>
    <t xml:space="preserve">Project NOCTURNE Nerve Weave</t>
  </si>
  <si>
    <t xml:space="preserve">trl_imp_x510</t>
  </si>
  <si>
    <t xml:space="preserve">Dodge +3; Unarmed +2</t>
  </si>
  <si>
    <t xml:space="preserve">Dodge 4; Unarmed 3; Grit 4</t>
  </si>
  <si>
    <t xml:space="preserve">Omen Labs Lung Pack</t>
  </si>
  <si>
    <t xml:space="preserve">trl_imp_x511</t>
  </si>
  <si>
    <t xml:space="preserve">Manual +4; Negotiation +1</t>
  </si>
  <si>
    <t xml:space="preserve">Manual 5; Negotiation 2; Grit 4</t>
  </si>
  <si>
    <t xml:space="preserve">Chest battery. Unproven research unit: may glitch when damaged, needs recalibration after each fight. Price and grade are beyond the current catalogue.</t>
  </si>
  <si>
    <t xml:space="preserve">Sable Institute Heart Pump</t>
  </si>
  <si>
    <t xml:space="preserve">trl_imp_x512</t>
  </si>
  <si>
    <t xml:space="preserve">Manual +3; Grit +2</t>
  </si>
  <si>
    <t xml:space="preserve">Manual 4; Grit 4</t>
  </si>
  <si>
    <t xml:space="preserve">Helix Research Annex Reserve Cell</t>
  </si>
  <si>
    <t xml:space="preserve">trl_imp_x513</t>
  </si>
  <si>
    <t xml:space="preserve">Grit 4</t>
  </si>
  <si>
    <t xml:space="preserve">Reserve battery: stores 3x the standard chest battery, no skill bonus. Unproven research unit: may glitch when damaged, needs recalibration after each fight. Price and grade are beyond the current catalogue.</t>
  </si>
  <si>
    <t xml:space="preserve">Project NOCTURNE Dermal Plate</t>
  </si>
  <si>
    <t xml:space="preserve">trl_imp_x514</t>
  </si>
  <si>
    <t xml:space="preserve">Dermal layer: armor-focused, stiff skin costs Negotiation -1. Unproven research unit: may glitch when damaged, needs recalibration after each fight. Price and grade are beyond the current catalogue.</t>
  </si>
  <si>
    <t xml:space="preserve">Omen Labs Skin Weave</t>
  </si>
  <si>
    <t xml:space="preserve">trl_imp_x515</t>
  </si>
  <si>
    <t xml:space="preserve">Sable Institute Forearm Frame</t>
  </si>
  <si>
    <t xml:space="preserve">trl_imp_x516</t>
  </si>
  <si>
    <t xml:space="preserve">Unarmed +3; Melee +2</t>
  </si>
  <si>
    <t xml:space="preserve">Unarmed 4; Melee 3; Grit 4</t>
  </si>
  <si>
    <t xml:space="preserve">Helix Research Annex Strike Servo</t>
  </si>
  <si>
    <t xml:space="preserve">trl_imp_x517</t>
  </si>
  <si>
    <t xml:space="preserve">Melee +4; Manual +1</t>
  </si>
  <si>
    <t xml:space="preserve">Melee 5; Manual 2; Grit 4</t>
  </si>
  <si>
    <t xml:space="preserve">Project NOCTURNE Haul Cabling</t>
  </si>
  <si>
    <t xml:space="preserve">trl_imp_x518</t>
  </si>
  <si>
    <t xml:space="preserve">Unarmed +3; Manual +2</t>
  </si>
  <si>
    <t xml:space="preserve">Unarmed 4; Manual 3; Grit 4</t>
  </si>
  <si>
    <t xml:space="preserve">Omen Labs Smart Palm</t>
  </si>
  <si>
    <t xml:space="preserve">trl_imp_x519</t>
  </si>
  <si>
    <t xml:space="preserve">Ranged +4; Engineering +1</t>
  </si>
  <si>
    <t xml:space="preserve">Ranged 5; Engineering 2; Grit 4</t>
  </si>
  <si>
    <t xml:space="preserve">Sable Institute Fine-Motor Set</t>
  </si>
  <si>
    <t xml:space="preserve">trl_imp_x520</t>
  </si>
  <si>
    <t xml:space="preserve">Engineering +3; Manual +2</t>
  </si>
  <si>
    <t xml:space="preserve">Engineering 4; Manual 3; Grit 4</t>
  </si>
  <si>
    <t xml:space="preserve">Helix Research Annex Tool Fingers</t>
  </si>
  <si>
    <t xml:space="preserve">trl_imp_x521</t>
  </si>
  <si>
    <t xml:space="preserve">Artisan +4; Engineering +1</t>
  </si>
  <si>
    <t xml:space="preserve">Artisan 5; Engineering 2; Grit 4</t>
  </si>
  <si>
    <t xml:space="preserve">Project NOCTURNE Actuator</t>
  </si>
  <si>
    <t xml:space="preserve">trl_imp_x522</t>
  </si>
  <si>
    <t xml:space="preserve">Dodge +3; Grit +2</t>
  </si>
  <si>
    <t xml:space="preserve">Dodge 4; Grit 4</t>
  </si>
  <si>
    <t xml:space="preserve">Omen Labs Shock Spring</t>
  </si>
  <si>
    <t xml:space="preserve">trl_imp_x523</t>
  </si>
  <si>
    <t xml:space="preserve">Streetwise +4; Grit +1</t>
  </si>
  <si>
    <t xml:space="preserve">Streetwise 5; Grit 4</t>
  </si>
  <si>
    <t xml:space="preserve">Sable Institute Sprint Tendons</t>
  </si>
  <si>
    <t xml:space="preserve">trl_imp_x524</t>
  </si>
  <si>
    <t xml:space="preserve">Manual +3; Dodge +2</t>
  </si>
  <si>
    <t xml:space="preserve">Manual 4; Dodge 3; Grit 4</t>
  </si>
  <si>
    <t xml:space="preserve">Orrery Collective Trilobit</t>
  </si>
  <si>
    <t xml:space="preserve">trl_imp_x599</t>
  </si>
  <si>
    <t xml:space="preserve">Brain implant: holds 14 nanohack slots. No skill bonus; all capacity is for nanohacks. Unproven research unit: may glitch when damaged, needs recalibration after each fight. Price and grade are beyond the current catalogue.</t>
  </si>
  <si>
    <t xml:space="preserve">Power and cost model (edit the yellow cells; the Example Implants tab recalculates)</t>
  </si>
  <si>
    <t xml:space="preserve">Latent draw of one Improved (grade 2) implant, kJ/h</t>
  </si>
  <si>
    <t xml:space="preserve">Draft. Each grade doubles it: draw = this x 2^(grade-2).</t>
  </si>
  <si>
    <t xml:space="preserve">Hours in a week of full use</t>
  </si>
  <si>
    <t xml:space="preserve">Implants in a fully implanted person (one per layer)</t>
  </si>
  <si>
    <t xml:space="preserve">Head, eyes, spine, chest, dermal, arms, hands, legs.</t>
  </si>
  <si>
    <t xml:space="preserve">Improved chest battery capacity, kJ</t>
  </si>
  <si>
    <t xml:space="preserve">Power rate, yen per kJ</t>
  </si>
  <si>
    <t xml:space="preserve">Same as the charging stations (POWER_RATE).</t>
  </si>
  <si>
    <t xml:space="preserve">District multiplier</t>
  </si>
  <si>
    <t xml:space="preserve">0.85 lower, 1.0 middle, 1.35 upper.</t>
  </si>
  <si>
    <t xml:space="preserve">Power tax, yen per kJ</t>
  </si>
  <si>
    <t xml:space="preserve">Same as the charging stations (POWER_TAX).</t>
  </si>
  <si>
    <t xml:space="preserve">Implant tax, % of implant price per visit</t>
  </si>
  <si>
    <t xml:space="preserve">Same as the charging stations (TAX_PCT).</t>
  </si>
  <si>
    <t xml:space="preserve">Repair cost at 100% damage, fraction of price</t>
  </si>
  <si>
    <t xml:space="preserve">Quality fee scales linearly with damage.</t>
  </si>
  <si>
    <t xml:space="preserve">Reserve Cell capacity multiplier</t>
  </si>
  <si>
    <t xml:space="preserve">Extra chest implants store this many times the standard battery of their grade.</t>
  </si>
  <si>
    <t xml:space="preserve">Check: hours an all-Improved rig runs on one Improved battery</t>
  </si>
  <si>
    <t xml:space="preserve">Should read 168.</t>
  </si>
  <si>
    <t xml:space="preserve">Tab 1 (Implants): the 12 implants in the game today. Edits here do not change the game.</t>
  </si>
  <si>
    <t xml:space="preserve">Tab 2 (Example Implants): invented designs, 24 per quality level plus one extra Prototype Trilobit. Not in the game.</t>
  </si>
  <si>
    <t xml:space="preserve">Quality levels by grade: 1 Basic, 2 Improved, 3 Quality, 4 Military, 5 Prototype (grade 5 is new).</t>
  </si>
  <si>
    <t xml:space="preserve">Durability doubles as health. Within a level, implants with smaller skill bonuses get more durability: dur = low + (high x 1.25 - low) x (1 - skill total / highest skill total in the level).</t>
  </si>
  <si>
    <t xml:space="preserve">Armor: every implant has at least 1; dermal implants are the armor-heavy layer. Armor applies to the limb group of the part (eyes: head, spine: chest, hands: arms).</t>
  </si>
  <si>
    <t xml:space="preserve">Layers: Chest and Dermal are separate. Dermal implants all lower Negotiation by 1.</t>
  </si>
  <si>
    <t xml:space="preserve">Nanohacks permitted (Trilobits only): Basic 2, Improved 4, Quality 6, Military 8, Prototype 10; the extra Prototype Trilobit holds 14 and has no skill bonus.</t>
  </si>
  <si>
    <t xml:space="preserve">Latent draw = Power Model!B3 x 2^(grade-2). An all-Improved rig of 8 implants (one per layer) drains one Improved chest battery in 168 hours.</t>
  </si>
  <si>
    <t xml:space="preserve">Battery: standard chest batteries store week x rig size x draw of their grade (they double per grade). Reserve Cells store 3x that and have no skill bonus.</t>
  </si>
  <si>
    <t xml:space="preserve">Prices are 10x the earlier example prices. Underground clinics charge 80%.</t>
  </si>
  <si>
    <t xml:space="preserve">Quality fee = the repair cost: 25% of price at 100% damage, scaling with damage.</t>
  </si>
  <si>
    <t xml:space="preserve">Recharge cost (one week) = draw x 168 h x (power rate x district + power tax) + implant tax on the price. It leaves out the old per-visit quality fee because that fee is now the repair cost.</t>
  </si>
  <si>
    <t xml:space="preserve">Install requirements: Grit of (quality level - 1), and for each skill an implant raises, that skill at (bonus + 1). Where one skill is both, the higher number applies.</t>
  </si>
  <si>
    <t xml:space="preserve">Manufacturers and model names are invented.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</si>
</sst>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EEEEEE"/>
        <bgColor rgb="FFF2F2F2"/>
      </patternFill>
    </fill>
    <fill>
      <patternFill patternType="solid">
        <fgColor rgb="FFF2F2F2"/>
        <bgColor rgb="FFEEEEEE"/>
      </patternFill>
    </fill>
    <fill>
      <patternFill patternType="solid">
        <fgColor rgb="FFE8F1E4"/>
        <bgColor rgb="FFEEEEEE"/>
      </patternFill>
    </fill>
    <fill>
      <patternFill patternType="solid">
        <fgColor rgb="FFE3EEF7"/>
        <bgColor rgb="FFEEEEEE"/>
      </patternFill>
    </fill>
    <fill>
      <patternFill patternType="solid">
        <fgColor rgb="FFF7E8DC"/>
        <bgColor rgb="FFEEEEEE"/>
      </patternFill>
    </fill>
    <fill>
      <patternFill patternType="solid">
        <fgColor rgb="FFF1E3F5"/>
        <bgColor rgb="FFEEEEEE"/>
      </patternFill>
    </fill>
    <fill>
      <patternFill patternType="solid">
        <fgColor rgb="FFFFF2B3"/>
        <bgColor rgb="FFF7E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7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8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8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4D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EEF7"/>
          <bgColor rgb="FF000000"/>
        </patternFill>
      </fill>
    </dxf>
    <dxf>
      <fill>
        <patternFill patternType="solid">
          <fgColor rgb="FFE8F1E4"/>
          <bgColor rgb="FF000000"/>
        </patternFill>
      </fill>
    </dxf>
    <dxf>
      <fill>
        <patternFill patternType="solid">
          <fgColor rgb="FFF1E3F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7E8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B3"/>
      <rgbColor rgb="FFE3EEF7"/>
      <rgbColor rgb="FF660066"/>
      <rgbColor rgb="FFFF8080"/>
      <rgbColor rgb="FF0066CC"/>
      <rgbColor rgb="FFF1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8F1E4"/>
      <rgbColor rgb="FFF7E8DC"/>
      <rgbColor rgb="FF99CCFF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42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4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n">
        <v>3</v>
      </c>
      <c r="E2" s="3" t="n">
        <v>4200</v>
      </c>
      <c r="F2" s="3" t="n">
        <f aca="false">ROUND(E2*0.8,0)</f>
        <v>3360</v>
      </c>
      <c r="G2" s="2" t="n">
        <v>1</v>
      </c>
      <c r="H2" s="2" t="s">
        <v>18</v>
      </c>
      <c r="I2" s="2" t="n">
        <v>30</v>
      </c>
      <c r="J2" s="2" t="n">
        <f aca="false">2*2^(MAX(D2-2,0))</f>
        <v>4</v>
      </c>
      <c r="K2" s="2" t="n">
        <f aca="false">MIN(MAX(D2-1,1),3)*100</f>
        <v>200</v>
      </c>
      <c r="L2" s="2" t="s">
        <v>19</v>
      </c>
      <c r="M2" s="2"/>
      <c r="N2" s="2" t="s">
        <v>20</v>
      </c>
      <c r="O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n">
        <v>2</v>
      </c>
      <c r="E3" s="3" t="n">
        <v>1800</v>
      </c>
      <c r="F3" s="3" t="n">
        <f aca="false">ROUND(E3*0.8,0)</f>
        <v>1440</v>
      </c>
      <c r="G3" s="2" t="n">
        <v>0</v>
      </c>
      <c r="H3" s="2"/>
      <c r="I3" s="2" t="n">
        <v>20</v>
      </c>
      <c r="J3" s="2" t="n">
        <f aca="false">2*2^(MAX(D3-2,0))</f>
        <v>2</v>
      </c>
      <c r="K3" s="2" t="n">
        <f aca="false">MIN(MAX(D3-1,1),3)*100</f>
        <v>100</v>
      </c>
      <c r="L3" s="2" t="s">
        <v>25</v>
      </c>
      <c r="M3" s="2"/>
      <c r="N3" s="2" t="s">
        <v>20</v>
      </c>
      <c r="O3" s="2" t="s">
        <v>26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24</v>
      </c>
      <c r="D4" s="2" t="n">
        <v>2</v>
      </c>
      <c r="E4" s="3" t="n">
        <v>2600</v>
      </c>
      <c r="F4" s="3" t="n">
        <f aca="false">ROUND(E4*0.8,0)</f>
        <v>2080</v>
      </c>
      <c r="G4" s="2" t="n">
        <v>0</v>
      </c>
      <c r="H4" s="2"/>
      <c r="I4" s="2" t="n">
        <v>20</v>
      </c>
      <c r="J4" s="2" t="n">
        <f aca="false">2*2^(MAX(D4-2,0))</f>
        <v>2</v>
      </c>
      <c r="K4" s="2" t="n">
        <f aca="false">MIN(MAX(D4-1,1),3)*100</f>
        <v>100</v>
      </c>
      <c r="L4" s="2" t="s">
        <v>29</v>
      </c>
      <c r="M4" s="2"/>
      <c r="N4" s="2" t="s">
        <v>20</v>
      </c>
      <c r="O4" s="2" t="s">
        <v>30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33</v>
      </c>
      <c r="D5" s="2" t="n">
        <v>2</v>
      </c>
      <c r="E5" s="3" t="n">
        <v>3000</v>
      </c>
      <c r="F5" s="3" t="n">
        <f aca="false">ROUND(E5*0.8,0)</f>
        <v>2400</v>
      </c>
      <c r="G5" s="2" t="n">
        <v>0</v>
      </c>
      <c r="H5" s="2"/>
      <c r="I5" s="2" t="n">
        <v>20</v>
      </c>
      <c r="J5" s="2" t="n">
        <f aca="false">2*2^(MAX(D5-2,0))</f>
        <v>2</v>
      </c>
      <c r="K5" s="2" t="n">
        <f aca="false">MIN(MAX(D5-1,1),3)*100</f>
        <v>100</v>
      </c>
      <c r="L5" s="2"/>
      <c r="M5" s="2"/>
      <c r="N5" s="2" t="s">
        <v>20</v>
      </c>
      <c r="O5" s="2" t="s">
        <v>34</v>
      </c>
    </row>
    <row r="6" customFormat="false" ht="28.35" hidden="false" customHeight="false" outlineLevel="0" collapsed="false">
      <c r="A6" s="2" t="s">
        <v>35</v>
      </c>
      <c r="B6" s="2" t="s">
        <v>36</v>
      </c>
      <c r="C6" s="2" t="s">
        <v>33</v>
      </c>
      <c r="D6" s="2" t="n">
        <v>3</v>
      </c>
      <c r="E6" s="3" t="n">
        <v>6200</v>
      </c>
      <c r="F6" s="3" t="n">
        <f aca="false">ROUND(E6*0.8,0)</f>
        <v>4960</v>
      </c>
      <c r="G6" s="2" t="n">
        <v>0</v>
      </c>
      <c r="H6" s="2"/>
      <c r="I6" s="2" t="n">
        <v>20</v>
      </c>
      <c r="J6" s="2" t="n">
        <f aca="false">2*2^(MAX(D6-2,0))</f>
        <v>4</v>
      </c>
      <c r="K6" s="2" t="n">
        <f aca="false">MIN(MAX(D6-1,1),3)*100</f>
        <v>200</v>
      </c>
      <c r="L6" s="2" t="s">
        <v>37</v>
      </c>
      <c r="M6" s="2"/>
      <c r="N6" s="2" t="s">
        <v>20</v>
      </c>
      <c r="O6" s="2" t="s">
        <v>38</v>
      </c>
    </row>
    <row r="7" customFormat="false" ht="28.35" hidden="false" customHeight="false" outlineLevel="0" collapsed="false">
      <c r="A7" s="2" t="s">
        <v>39</v>
      </c>
      <c r="B7" s="2" t="s">
        <v>40</v>
      </c>
      <c r="C7" s="2" t="s">
        <v>33</v>
      </c>
      <c r="D7" s="2" t="n">
        <v>4</v>
      </c>
      <c r="E7" s="3" t="n">
        <v>11000</v>
      </c>
      <c r="F7" s="3" t="n">
        <f aca="false">ROUND(E7*0.8,0)</f>
        <v>8800</v>
      </c>
      <c r="G7" s="2" t="n">
        <v>0</v>
      </c>
      <c r="H7" s="2"/>
      <c r="I7" s="2" t="n">
        <v>20</v>
      </c>
      <c r="J7" s="2" t="n">
        <f aca="false">2*2^(MAX(D7-2,0))</f>
        <v>8</v>
      </c>
      <c r="K7" s="2" t="n">
        <f aca="false">MIN(MAX(D7-1,1),3)*100</f>
        <v>300</v>
      </c>
      <c r="L7" s="2" t="s">
        <v>41</v>
      </c>
      <c r="M7" s="2"/>
      <c r="N7" s="2" t="s">
        <v>20</v>
      </c>
      <c r="O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n">
        <v>2</v>
      </c>
      <c r="E8" s="3" t="n">
        <v>2200</v>
      </c>
      <c r="F8" s="3" t="n">
        <f aca="false">ROUND(E8*0.8,0)</f>
        <v>1760</v>
      </c>
      <c r="G8" s="2" t="n">
        <v>2</v>
      </c>
      <c r="H8" s="2" t="s">
        <v>46</v>
      </c>
      <c r="I8" s="2" t="n">
        <v>80</v>
      </c>
      <c r="J8" s="2" t="n">
        <f aca="false">2*2^(MAX(D8-2,0))</f>
        <v>2</v>
      </c>
      <c r="K8" s="2" t="n">
        <f aca="false">MIN(MAX(D8-1,1),3)*100</f>
        <v>100</v>
      </c>
      <c r="L8" s="2"/>
      <c r="M8" s="2"/>
      <c r="N8" s="2" t="s">
        <v>20</v>
      </c>
      <c r="O8" s="2" t="s">
        <v>47</v>
      </c>
    </row>
    <row r="9" customFormat="false" ht="28.35" hidden="false" customHeight="false" outlineLevel="0" collapsed="false">
      <c r="A9" s="2" t="s">
        <v>48</v>
      </c>
      <c r="B9" s="2" t="s">
        <v>49</v>
      </c>
      <c r="C9" s="2" t="s">
        <v>50</v>
      </c>
      <c r="D9" s="2" t="n">
        <v>3</v>
      </c>
      <c r="E9" s="3" t="n">
        <v>3400</v>
      </c>
      <c r="F9" s="3" t="n">
        <f aca="false">ROUND(E9*0.8,0)</f>
        <v>2720</v>
      </c>
      <c r="G9" s="2" t="n">
        <v>1</v>
      </c>
      <c r="H9" s="2" t="s">
        <v>51</v>
      </c>
      <c r="I9" s="2" t="n">
        <v>30</v>
      </c>
      <c r="J9" s="2" t="n">
        <f aca="false">2*2^(MAX(D9-2,0))</f>
        <v>4</v>
      </c>
      <c r="K9" s="2" t="n">
        <f aca="false">MIN(MAX(D9-1,1),3)*100</f>
        <v>200</v>
      </c>
      <c r="L9" s="2" t="s">
        <v>52</v>
      </c>
      <c r="M9" s="2"/>
      <c r="N9" s="2" t="s">
        <v>20</v>
      </c>
      <c r="O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n">
        <v>2</v>
      </c>
      <c r="E10" s="3" t="n">
        <v>1500</v>
      </c>
      <c r="F10" s="3" t="n">
        <f aca="false">ROUND(E10*0.8,0)</f>
        <v>1200</v>
      </c>
      <c r="G10" s="2" t="n">
        <v>0</v>
      </c>
      <c r="H10" s="2"/>
      <c r="I10" s="2" t="n">
        <v>20</v>
      </c>
      <c r="J10" s="2" t="n">
        <f aca="false">2*2^(MAX(D10-2,0))</f>
        <v>2</v>
      </c>
      <c r="K10" s="2" t="n">
        <f aca="false">MIN(MAX(D10-1,1),3)*100</f>
        <v>100</v>
      </c>
      <c r="L10" s="2" t="s">
        <v>57</v>
      </c>
      <c r="M10" s="2"/>
      <c r="N10" s="2" t="s">
        <v>20</v>
      </c>
      <c r="O10" s="2" t="s">
        <v>58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n">
        <v>2</v>
      </c>
      <c r="E11" s="3" t="n">
        <v>1600</v>
      </c>
      <c r="F11" s="3" t="n">
        <f aca="false">ROUND(E11*0.8,0)</f>
        <v>1280</v>
      </c>
      <c r="G11" s="2" t="n">
        <v>1</v>
      </c>
      <c r="H11" s="2" t="s">
        <v>62</v>
      </c>
      <c r="I11" s="2" t="n">
        <v>40</v>
      </c>
      <c r="J11" s="2" t="n">
        <f aca="false">2*2^(MAX(D11-2,0))</f>
        <v>2</v>
      </c>
      <c r="K11" s="2" t="n">
        <f aca="false">MIN(MAX(D11-1,1),3)*100</f>
        <v>100</v>
      </c>
      <c r="L11" s="2"/>
      <c r="M11" s="2"/>
      <c r="N11" s="2" t="s">
        <v>20</v>
      </c>
      <c r="O11" s="2" t="s">
        <v>63</v>
      </c>
    </row>
    <row r="12" customFormat="false" ht="15" hidden="false" customHeight="false" outlineLevel="0" collapsed="false">
      <c r="A12" s="4" t="s">
        <v>64</v>
      </c>
      <c r="B12" s="4" t="s">
        <v>65</v>
      </c>
      <c r="C12" s="4" t="s">
        <v>66</v>
      </c>
      <c r="D12" s="4" t="n">
        <v>2</v>
      </c>
      <c r="E12" s="5" t="n">
        <v>2800</v>
      </c>
      <c r="F12" s="5" t="n">
        <f aca="false">ROUND(E12*0.8,0)</f>
        <v>2240</v>
      </c>
      <c r="G12" s="4" t="n">
        <v>1</v>
      </c>
      <c r="H12" s="4" t="s">
        <v>67</v>
      </c>
      <c r="I12" s="4" t="n">
        <v>30</v>
      </c>
      <c r="J12" s="4" t="n">
        <f aca="false">2*2^(MAX(D12-2,0))</f>
        <v>2</v>
      </c>
      <c r="K12" s="4" t="n">
        <f aca="false">MIN(MAX(D12-1,1),3)*100</f>
        <v>100</v>
      </c>
      <c r="L12" s="4"/>
      <c r="M12" s="4"/>
      <c r="N12" s="4" t="s">
        <v>20</v>
      </c>
      <c r="O12" s="4" t="s">
        <v>68</v>
      </c>
    </row>
    <row r="13" customFormat="false" ht="15" hidden="false" customHeight="false" outlineLevel="0" collapsed="false">
      <c r="A13" s="4" t="s">
        <v>69</v>
      </c>
      <c r="B13" s="4" t="s">
        <v>70</v>
      </c>
      <c r="C13" s="4" t="s">
        <v>56</v>
      </c>
      <c r="D13" s="4" t="n">
        <v>2</v>
      </c>
      <c r="E13" s="5" t="n">
        <v>1700</v>
      </c>
      <c r="F13" s="5" t="n">
        <f aca="false">ROUND(E13*0.8,0)</f>
        <v>1360</v>
      </c>
      <c r="G13" s="4" t="n">
        <v>0</v>
      </c>
      <c r="H13" s="4"/>
      <c r="I13" s="4" t="n">
        <v>20</v>
      </c>
      <c r="J13" s="4" t="n">
        <f aca="false">2*2^(MAX(D13-2,0))</f>
        <v>2</v>
      </c>
      <c r="K13" s="4" t="n">
        <f aca="false">MIN(MAX(D13-1,1),3)*100</f>
        <v>100</v>
      </c>
      <c r="L13" s="4"/>
      <c r="M13" s="4"/>
      <c r="N13" s="4" t="s">
        <v>20</v>
      </c>
      <c r="O13" s="4" t="s">
        <v>71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9" min="8" style="0" width="12"/>
    <col collapsed="false" customWidth="true" hidden="false" outlineLevel="0" max="11" min="10" style="0" width="11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5" min="15" style="0" width="34"/>
    <col collapsed="false" customWidth="true" hidden="false" outlineLevel="0" max="16" min="16" style="0" width="13"/>
    <col collapsed="false" customWidth="true" hidden="false" outlineLevel="0" max="17" min="17" style="0" width="24"/>
    <col collapsed="false" customWidth="true" hidden="false" outlineLevel="0" max="18" min="18" style="0" width="60"/>
  </cols>
  <sheetData>
    <row r="1" customFormat="false" ht="6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12</v>
      </c>
      <c r="Q1" s="1" t="s">
        <v>13</v>
      </c>
      <c r="R1" s="1" t="s">
        <v>14</v>
      </c>
    </row>
    <row r="2" customFormat="false" ht="28.35" hidden="false" customHeight="false" outlineLevel="0" collapsed="false">
      <c r="A2" s="6" t="s">
        <v>79</v>
      </c>
      <c r="B2" s="6" t="s">
        <v>80</v>
      </c>
      <c r="C2" s="6" t="s">
        <v>17</v>
      </c>
      <c r="D2" s="6" t="n">
        <v>1</v>
      </c>
      <c r="E2" s="7" t="n">
        <v>10000</v>
      </c>
      <c r="F2" s="7" t="n">
        <f aca="false">ROUND(E2*0.8,0)</f>
        <v>8000</v>
      </c>
      <c r="G2" s="6" t="n">
        <v>1</v>
      </c>
      <c r="H2" s="6" t="s">
        <v>18</v>
      </c>
      <c r="I2" s="6" t="n">
        <v>16</v>
      </c>
      <c r="J2" s="8" t="n">
        <f aca="false">'Power Model'!$B$3*2^(D2-2)</f>
        <v>0.5</v>
      </c>
      <c r="K2" s="7"/>
      <c r="L2" s="7" t="n">
        <f aca="false">ROUND(E2*'Power Model'!$B$11,0)</f>
        <v>2500</v>
      </c>
      <c r="M2" s="7" t="n">
        <f aca="false">ROUND(J2*'Power Model'!$B$4*('Power Model'!$B$7*'Power Model'!$B$8+'Power Model'!$B$9)+E2*'Power Model'!$B$10/100,0)</f>
        <v>592</v>
      </c>
      <c r="N2" s="7"/>
      <c r="O2" s="6" t="s">
        <v>81</v>
      </c>
      <c r="P2" s="6" t="n">
        <v>2</v>
      </c>
      <c r="Q2" s="6" t="s">
        <v>82</v>
      </c>
      <c r="R2" s="6" t="s">
        <v>83</v>
      </c>
    </row>
    <row r="3" customFormat="false" ht="28.35" hidden="false" customHeight="false" outlineLevel="0" collapsed="false">
      <c r="A3" s="6" t="s">
        <v>84</v>
      </c>
      <c r="B3" s="6" t="s">
        <v>85</v>
      </c>
      <c r="C3" s="6" t="s">
        <v>17</v>
      </c>
      <c r="D3" s="6" t="n">
        <v>1</v>
      </c>
      <c r="E3" s="7" t="n">
        <v>10400</v>
      </c>
      <c r="F3" s="7" t="n">
        <f aca="false">ROUND(E3*0.8,0)</f>
        <v>8320</v>
      </c>
      <c r="G3" s="6" t="n">
        <v>1</v>
      </c>
      <c r="H3" s="6" t="s">
        <v>18</v>
      </c>
      <c r="I3" s="6" t="n">
        <v>18</v>
      </c>
      <c r="J3" s="8" t="n">
        <f aca="false">'Power Model'!$B$3*2^(D3-2)</f>
        <v>0.5</v>
      </c>
      <c r="K3" s="7"/>
      <c r="L3" s="7" t="n">
        <f aca="false">ROUND(E3*'Power Model'!$B$11,0)</f>
        <v>2600</v>
      </c>
      <c r="M3" s="7" t="n">
        <f aca="false">ROUND(J3*'Power Model'!$B$4*('Power Model'!$B$7*'Power Model'!$B$8+'Power Model'!$B$9)+E3*'Power Model'!$B$10/100,0)</f>
        <v>612</v>
      </c>
      <c r="N3" s="7"/>
      <c r="O3" s="6" t="s">
        <v>86</v>
      </c>
      <c r="P3" s="6" t="n">
        <v>2</v>
      </c>
      <c r="Q3" s="6" t="s">
        <v>87</v>
      </c>
      <c r="R3" s="6" t="s">
        <v>83</v>
      </c>
    </row>
    <row r="4" customFormat="false" ht="28.35" hidden="false" customHeight="false" outlineLevel="0" collapsed="false">
      <c r="A4" s="6" t="s">
        <v>88</v>
      </c>
      <c r="B4" s="6" t="s">
        <v>89</v>
      </c>
      <c r="C4" s="6" t="s">
        <v>17</v>
      </c>
      <c r="D4" s="6" t="n">
        <v>1</v>
      </c>
      <c r="E4" s="7" t="n">
        <v>10800</v>
      </c>
      <c r="F4" s="7" t="n">
        <f aca="false">ROUND(E4*0.8,0)</f>
        <v>8640</v>
      </c>
      <c r="G4" s="6" t="n">
        <v>1</v>
      </c>
      <c r="H4" s="6" t="s">
        <v>18</v>
      </c>
      <c r="I4" s="6" t="n">
        <v>22</v>
      </c>
      <c r="J4" s="8" t="n">
        <f aca="false">'Power Model'!$B$3*2^(D4-2)</f>
        <v>0.5</v>
      </c>
      <c r="K4" s="7"/>
      <c r="L4" s="7" t="n">
        <f aca="false">ROUND(E4*'Power Model'!$B$11,0)</f>
        <v>2700</v>
      </c>
      <c r="M4" s="7" t="n">
        <f aca="false">ROUND(J4*'Power Model'!$B$4*('Power Model'!$B$7*'Power Model'!$B$8+'Power Model'!$B$9)+E4*'Power Model'!$B$10/100,0)</f>
        <v>632</v>
      </c>
      <c r="N4" s="7"/>
      <c r="O4" s="6" t="s">
        <v>90</v>
      </c>
      <c r="P4" s="6" t="n">
        <v>2</v>
      </c>
      <c r="Q4" s="6" t="s">
        <v>91</v>
      </c>
      <c r="R4" s="6" t="s">
        <v>83</v>
      </c>
    </row>
    <row r="5" customFormat="false" ht="28.35" hidden="false" customHeight="false" outlineLevel="0" collapsed="false">
      <c r="A5" s="6" t="s">
        <v>92</v>
      </c>
      <c r="B5" s="6" t="s">
        <v>93</v>
      </c>
      <c r="C5" s="6" t="s">
        <v>17</v>
      </c>
      <c r="D5" s="6" t="n">
        <v>1</v>
      </c>
      <c r="E5" s="7" t="n">
        <v>11200</v>
      </c>
      <c r="F5" s="7" t="n">
        <f aca="false">ROUND(E5*0.8,0)</f>
        <v>8960</v>
      </c>
      <c r="G5" s="6" t="n">
        <v>1</v>
      </c>
      <c r="H5" s="6" t="s">
        <v>18</v>
      </c>
      <c r="I5" s="6" t="n">
        <v>24</v>
      </c>
      <c r="J5" s="8" t="n">
        <f aca="false">'Power Model'!$B$3*2^(D5-2)</f>
        <v>0.5</v>
      </c>
      <c r="K5" s="7"/>
      <c r="L5" s="7" t="n">
        <f aca="false">ROUND(E5*'Power Model'!$B$11,0)</f>
        <v>2800</v>
      </c>
      <c r="M5" s="7" t="n">
        <f aca="false">ROUND(J5*'Power Model'!$B$4*('Power Model'!$B$7*'Power Model'!$B$8+'Power Model'!$B$9)+E5*'Power Model'!$B$10/100,0)</f>
        <v>652</v>
      </c>
      <c r="N5" s="7"/>
      <c r="O5" s="6" t="s">
        <v>94</v>
      </c>
      <c r="P5" s="6" t="n">
        <v>2</v>
      </c>
      <c r="Q5" s="6" t="s">
        <v>95</v>
      </c>
      <c r="R5" s="6" t="s">
        <v>83</v>
      </c>
    </row>
    <row r="6" customFormat="false" ht="28.35" hidden="false" customHeight="false" outlineLevel="0" collapsed="false">
      <c r="A6" s="6" t="s">
        <v>96</v>
      </c>
      <c r="B6" s="6" t="s">
        <v>97</v>
      </c>
      <c r="C6" s="6" t="s">
        <v>24</v>
      </c>
      <c r="D6" s="6" t="n">
        <v>1</v>
      </c>
      <c r="E6" s="7" t="n">
        <v>12900</v>
      </c>
      <c r="F6" s="7" t="n">
        <f aca="false">ROUND(E6*0.8,0)</f>
        <v>10320</v>
      </c>
      <c r="G6" s="6" t="n">
        <v>1</v>
      </c>
      <c r="H6" s="6" t="s">
        <v>18</v>
      </c>
      <c r="I6" s="6" t="n">
        <v>17</v>
      </c>
      <c r="J6" s="8" t="n">
        <f aca="false">'Power Model'!$B$3*2^(D6-2)</f>
        <v>0.5</v>
      </c>
      <c r="K6" s="7"/>
      <c r="L6" s="7" t="n">
        <f aca="false">ROUND(E6*'Power Model'!$B$11,0)</f>
        <v>3225</v>
      </c>
      <c r="M6" s="7" t="n">
        <f aca="false">ROUND(J6*'Power Model'!$B$4*('Power Model'!$B$7*'Power Model'!$B$8+'Power Model'!$B$9)+E6*'Power Model'!$B$10/100,0)</f>
        <v>737</v>
      </c>
      <c r="N6" s="7"/>
      <c r="O6" s="6" t="s">
        <v>98</v>
      </c>
      <c r="P6" s="6"/>
      <c r="Q6" s="6" t="s">
        <v>99</v>
      </c>
      <c r="R6" s="6" t="s">
        <v>100</v>
      </c>
    </row>
    <row r="7" customFormat="false" ht="28.35" hidden="false" customHeight="false" outlineLevel="0" collapsed="false">
      <c r="A7" s="6" t="s">
        <v>101</v>
      </c>
      <c r="B7" s="6" t="s">
        <v>102</v>
      </c>
      <c r="C7" s="6" t="s">
        <v>24</v>
      </c>
      <c r="D7" s="6" t="n">
        <v>1</v>
      </c>
      <c r="E7" s="7" t="n">
        <v>13400</v>
      </c>
      <c r="F7" s="7" t="n">
        <f aca="false">ROUND(E7*0.8,0)</f>
        <v>10720</v>
      </c>
      <c r="G7" s="6" t="n">
        <v>1</v>
      </c>
      <c r="H7" s="6" t="s">
        <v>18</v>
      </c>
      <c r="I7" s="6" t="n">
        <v>20</v>
      </c>
      <c r="J7" s="8" t="n">
        <f aca="false">'Power Model'!$B$3*2^(D7-2)</f>
        <v>0.5</v>
      </c>
      <c r="K7" s="7"/>
      <c r="L7" s="7" t="n">
        <f aca="false">ROUND(E7*'Power Model'!$B$11,0)</f>
        <v>3350</v>
      </c>
      <c r="M7" s="7" t="n">
        <f aca="false">ROUND(J7*'Power Model'!$B$4*('Power Model'!$B$7*'Power Model'!$B$8+'Power Model'!$B$9)+E7*'Power Model'!$B$10/100,0)</f>
        <v>762</v>
      </c>
      <c r="N7" s="7"/>
      <c r="O7" s="6" t="s">
        <v>86</v>
      </c>
      <c r="P7" s="6"/>
      <c r="Q7" s="6" t="s">
        <v>87</v>
      </c>
      <c r="R7" s="6" t="s">
        <v>100</v>
      </c>
    </row>
    <row r="8" customFormat="false" ht="28.35" hidden="false" customHeight="false" outlineLevel="0" collapsed="false">
      <c r="A8" s="6" t="s">
        <v>103</v>
      </c>
      <c r="B8" s="6" t="s">
        <v>104</v>
      </c>
      <c r="C8" s="6" t="s">
        <v>24</v>
      </c>
      <c r="D8" s="6" t="n">
        <v>1</v>
      </c>
      <c r="E8" s="7" t="n">
        <v>5800</v>
      </c>
      <c r="F8" s="7" t="n">
        <f aca="false">ROUND(E8*0.8,0)</f>
        <v>4640</v>
      </c>
      <c r="G8" s="6" t="n">
        <v>1</v>
      </c>
      <c r="H8" s="6" t="s">
        <v>18</v>
      </c>
      <c r="I8" s="6" t="n">
        <v>40</v>
      </c>
      <c r="J8" s="8" t="n">
        <f aca="false">'Power Model'!$B$3*2^(D8-2)</f>
        <v>0.5</v>
      </c>
      <c r="K8" s="7"/>
      <c r="L8" s="7" t="n">
        <f aca="false">ROUND(E8*'Power Model'!$B$11,0)</f>
        <v>1450</v>
      </c>
      <c r="M8" s="7" t="n">
        <f aca="false">ROUND(J8*'Power Model'!$B$4*('Power Model'!$B$7*'Power Model'!$B$8+'Power Model'!$B$9)+E8*'Power Model'!$B$10/100,0)</f>
        <v>382</v>
      </c>
      <c r="N8" s="7"/>
      <c r="O8" s="6"/>
      <c r="P8" s="6"/>
      <c r="Q8" s="6" t="s">
        <v>105</v>
      </c>
      <c r="R8" s="6" t="s">
        <v>100</v>
      </c>
    </row>
    <row r="9" customFormat="false" ht="28.35" hidden="false" customHeight="false" outlineLevel="0" collapsed="false">
      <c r="A9" s="6" t="s">
        <v>106</v>
      </c>
      <c r="B9" s="6" t="s">
        <v>107</v>
      </c>
      <c r="C9" s="6" t="s">
        <v>33</v>
      </c>
      <c r="D9" s="6" t="n">
        <v>1</v>
      </c>
      <c r="E9" s="7" t="n">
        <v>12900</v>
      </c>
      <c r="F9" s="7" t="n">
        <f aca="false">ROUND(E9*0.8,0)</f>
        <v>10320</v>
      </c>
      <c r="G9" s="6" t="n">
        <v>2</v>
      </c>
      <c r="H9" s="6" t="s">
        <v>67</v>
      </c>
      <c r="I9" s="6" t="n">
        <v>17</v>
      </c>
      <c r="J9" s="8" t="n">
        <f aca="false">'Power Model'!$B$3*2^(D9-2)</f>
        <v>0.5</v>
      </c>
      <c r="K9" s="7"/>
      <c r="L9" s="7" t="n">
        <f aca="false">ROUND(E9*'Power Model'!$B$11,0)</f>
        <v>3225</v>
      </c>
      <c r="M9" s="7" t="n">
        <f aca="false">ROUND(J9*'Power Model'!$B$4*('Power Model'!$B$7*'Power Model'!$B$8+'Power Model'!$B$9)+E9*'Power Model'!$B$10/100,0)</f>
        <v>737</v>
      </c>
      <c r="N9" s="7"/>
      <c r="O9" s="6" t="s">
        <v>108</v>
      </c>
      <c r="P9" s="6"/>
      <c r="Q9" s="6" t="s">
        <v>109</v>
      </c>
      <c r="R9" s="6" t="s">
        <v>100</v>
      </c>
    </row>
    <row r="10" customFormat="false" ht="28.35" hidden="false" customHeight="false" outlineLevel="0" collapsed="false">
      <c r="A10" s="6" t="s">
        <v>110</v>
      </c>
      <c r="B10" s="6" t="s">
        <v>111</v>
      </c>
      <c r="C10" s="6" t="s">
        <v>33</v>
      </c>
      <c r="D10" s="6" t="n">
        <v>1</v>
      </c>
      <c r="E10" s="7" t="n">
        <v>13400</v>
      </c>
      <c r="F10" s="7" t="n">
        <f aca="false">ROUND(E10*0.8,0)</f>
        <v>10720</v>
      </c>
      <c r="G10" s="6" t="n">
        <v>1</v>
      </c>
      <c r="H10" s="6" t="s">
        <v>67</v>
      </c>
      <c r="I10" s="6" t="n">
        <v>20</v>
      </c>
      <c r="J10" s="8" t="n">
        <f aca="false">'Power Model'!$B$3*2^(D10-2)</f>
        <v>0.5</v>
      </c>
      <c r="K10" s="7"/>
      <c r="L10" s="7" t="n">
        <f aca="false">ROUND(E10*'Power Model'!$B$11,0)</f>
        <v>3350</v>
      </c>
      <c r="M10" s="7" t="n">
        <f aca="false">ROUND(J10*'Power Model'!$B$4*('Power Model'!$B$7*'Power Model'!$B$8+'Power Model'!$B$9)+E10*'Power Model'!$B$10/100,0)</f>
        <v>762</v>
      </c>
      <c r="N10" s="7"/>
      <c r="O10" s="6" t="s">
        <v>112</v>
      </c>
      <c r="P10" s="6"/>
      <c r="Q10" s="6" t="s">
        <v>113</v>
      </c>
      <c r="R10" s="6" t="s">
        <v>100</v>
      </c>
    </row>
    <row r="11" customFormat="false" ht="28.35" hidden="false" customHeight="false" outlineLevel="0" collapsed="false">
      <c r="A11" s="6" t="s">
        <v>114</v>
      </c>
      <c r="B11" s="6" t="s">
        <v>115</v>
      </c>
      <c r="C11" s="6" t="s">
        <v>33</v>
      </c>
      <c r="D11" s="6" t="n">
        <v>1</v>
      </c>
      <c r="E11" s="7" t="n">
        <v>5800</v>
      </c>
      <c r="F11" s="7" t="n">
        <f aca="false">ROUND(E11*0.8,0)</f>
        <v>4640</v>
      </c>
      <c r="G11" s="6" t="n">
        <v>2</v>
      </c>
      <c r="H11" s="6" t="s">
        <v>67</v>
      </c>
      <c r="I11" s="6" t="n">
        <v>40</v>
      </c>
      <c r="J11" s="8" t="n">
        <f aca="false">'Power Model'!$B$3*2^(D11-2)</f>
        <v>0.5</v>
      </c>
      <c r="K11" s="7"/>
      <c r="L11" s="7" t="n">
        <f aca="false">ROUND(E11*'Power Model'!$B$11,0)</f>
        <v>1450</v>
      </c>
      <c r="M11" s="7" t="n">
        <f aca="false">ROUND(J11*'Power Model'!$B$4*('Power Model'!$B$7*'Power Model'!$B$8+'Power Model'!$B$9)+E11*'Power Model'!$B$10/100,0)</f>
        <v>382</v>
      </c>
      <c r="N11" s="7"/>
      <c r="O11" s="6"/>
      <c r="P11" s="6"/>
      <c r="Q11" s="6" t="s">
        <v>105</v>
      </c>
      <c r="R11" s="6" t="s">
        <v>100</v>
      </c>
    </row>
    <row r="12" customFormat="false" ht="28.35" hidden="false" customHeight="false" outlineLevel="0" collapsed="false">
      <c r="A12" s="6" t="s">
        <v>116</v>
      </c>
      <c r="B12" s="6" t="s">
        <v>117</v>
      </c>
      <c r="C12" s="6" t="s">
        <v>66</v>
      </c>
      <c r="D12" s="6" t="n">
        <v>1</v>
      </c>
      <c r="E12" s="7" t="n">
        <v>12900</v>
      </c>
      <c r="F12" s="7" t="n">
        <f aca="false">ROUND(E12*0.8,0)</f>
        <v>10320</v>
      </c>
      <c r="G12" s="6" t="n">
        <v>1</v>
      </c>
      <c r="H12" s="6" t="s">
        <v>67</v>
      </c>
      <c r="I12" s="6" t="n">
        <v>17</v>
      </c>
      <c r="J12" s="8" t="n">
        <f aca="false">'Power Model'!$B$3*2^(D12-2)</f>
        <v>0.5</v>
      </c>
      <c r="K12" s="7" t="n">
        <f aca="false">'Power Model'!$B$4*'Power Model'!$B$5*J12</f>
        <v>672</v>
      </c>
      <c r="L12" s="7" t="n">
        <f aca="false">ROUND(E12*'Power Model'!$B$11,0)</f>
        <v>3225</v>
      </c>
      <c r="M12" s="7" t="n">
        <f aca="false">ROUND(J12*'Power Model'!$B$4*('Power Model'!$B$7*'Power Model'!$B$8+'Power Model'!$B$9)+E12*'Power Model'!$B$10/100,0)</f>
        <v>737</v>
      </c>
      <c r="N12" s="7" t="n">
        <f aca="false">ROUND(K12*('Power Model'!$B$7*'Power Model'!$B$8+'Power Model'!$B$9),0)</f>
        <v>739</v>
      </c>
      <c r="O12" s="6" t="s">
        <v>118</v>
      </c>
      <c r="P12" s="6"/>
      <c r="Q12" s="6" t="s">
        <v>119</v>
      </c>
      <c r="R12" s="6" t="s">
        <v>120</v>
      </c>
    </row>
    <row r="13" customFormat="false" ht="28.35" hidden="false" customHeight="false" outlineLevel="0" collapsed="false">
      <c r="A13" s="6" t="s">
        <v>121</v>
      </c>
      <c r="B13" s="6" t="s">
        <v>122</v>
      </c>
      <c r="C13" s="6" t="s">
        <v>66</v>
      </c>
      <c r="D13" s="6" t="n">
        <v>1</v>
      </c>
      <c r="E13" s="7" t="n">
        <v>13400</v>
      </c>
      <c r="F13" s="7" t="n">
        <f aca="false">ROUND(E13*0.8,0)</f>
        <v>10720</v>
      </c>
      <c r="G13" s="6" t="n">
        <v>2</v>
      </c>
      <c r="H13" s="6" t="s">
        <v>67</v>
      </c>
      <c r="I13" s="6" t="n">
        <v>20</v>
      </c>
      <c r="J13" s="8" t="n">
        <f aca="false">'Power Model'!$B$3*2^(D13-2)</f>
        <v>0.5</v>
      </c>
      <c r="K13" s="7" t="n">
        <f aca="false">'Power Model'!$B$4*'Power Model'!$B$5*J13</f>
        <v>672</v>
      </c>
      <c r="L13" s="7" t="n">
        <f aca="false">ROUND(E13*'Power Model'!$B$11,0)</f>
        <v>3350</v>
      </c>
      <c r="M13" s="7" t="n">
        <f aca="false">ROUND(J13*'Power Model'!$B$4*('Power Model'!$B$7*'Power Model'!$B$8+'Power Model'!$B$9)+E13*'Power Model'!$B$10/100,0)</f>
        <v>762</v>
      </c>
      <c r="N13" s="7" t="n">
        <f aca="false">ROUND(K13*('Power Model'!$B$7*'Power Model'!$B$8+'Power Model'!$B$9),0)</f>
        <v>739</v>
      </c>
      <c r="O13" s="6" t="s">
        <v>123</v>
      </c>
      <c r="P13" s="6"/>
      <c r="Q13" s="6" t="s">
        <v>124</v>
      </c>
      <c r="R13" s="6" t="s">
        <v>120</v>
      </c>
    </row>
    <row r="14" customFormat="false" ht="41.75" hidden="false" customHeight="false" outlineLevel="0" collapsed="false">
      <c r="A14" s="6" t="s">
        <v>125</v>
      </c>
      <c r="B14" s="6" t="s">
        <v>126</v>
      </c>
      <c r="C14" s="6" t="s">
        <v>66</v>
      </c>
      <c r="D14" s="6" t="n">
        <v>1</v>
      </c>
      <c r="E14" s="7" t="n">
        <v>20300</v>
      </c>
      <c r="F14" s="7" t="n">
        <f aca="false">ROUND(E14*0.8,0)</f>
        <v>16240</v>
      </c>
      <c r="G14" s="6" t="n">
        <v>1</v>
      </c>
      <c r="H14" s="6" t="s">
        <v>67</v>
      </c>
      <c r="I14" s="6" t="n">
        <v>40</v>
      </c>
      <c r="J14" s="8" t="n">
        <f aca="false">'Power Model'!$B$3*2^(D14-2)</f>
        <v>0.5</v>
      </c>
      <c r="K14" s="7" t="n">
        <f aca="false">'Power Model'!$B$4*'Power Model'!$B$5*J14*'Power Model'!$B$12</f>
        <v>2016</v>
      </c>
      <c r="L14" s="7" t="n">
        <f aca="false">ROUND(E14*'Power Model'!$B$11,0)</f>
        <v>5075</v>
      </c>
      <c r="M14" s="7" t="n">
        <f aca="false">ROUND(J14*'Power Model'!$B$4*('Power Model'!$B$7*'Power Model'!$B$8+'Power Model'!$B$9)+E14*'Power Model'!$B$10/100,0)</f>
        <v>1107</v>
      </c>
      <c r="N14" s="7" t="n">
        <f aca="false">ROUND(K14*('Power Model'!$B$7*'Power Model'!$B$8+'Power Model'!$B$9),0)</f>
        <v>2218</v>
      </c>
      <c r="O14" s="6"/>
      <c r="P14" s="6"/>
      <c r="Q14" s="6" t="s">
        <v>105</v>
      </c>
      <c r="R14" s="6" t="s">
        <v>127</v>
      </c>
    </row>
    <row r="15" customFormat="false" ht="28.35" hidden="false" customHeight="false" outlineLevel="0" collapsed="false">
      <c r="A15" s="6" t="s">
        <v>128</v>
      </c>
      <c r="B15" s="6" t="s">
        <v>129</v>
      </c>
      <c r="C15" s="6" t="s">
        <v>45</v>
      </c>
      <c r="D15" s="6" t="n">
        <v>1</v>
      </c>
      <c r="E15" s="7" t="n">
        <v>5500</v>
      </c>
      <c r="F15" s="7" t="n">
        <f aca="false">ROUND(E15*0.8,0)</f>
        <v>4400</v>
      </c>
      <c r="G15" s="6" t="n">
        <v>2</v>
      </c>
      <c r="H15" s="6" t="s">
        <v>46</v>
      </c>
      <c r="I15" s="6" t="n">
        <v>36</v>
      </c>
      <c r="J15" s="8" t="n">
        <f aca="false">'Power Model'!$B$3*2^(D15-2)</f>
        <v>0.5</v>
      </c>
      <c r="K15" s="7"/>
      <c r="L15" s="7" t="n">
        <f aca="false">ROUND(E15*'Power Model'!$B$11,0)</f>
        <v>1375</v>
      </c>
      <c r="M15" s="7" t="n">
        <f aca="false">ROUND(J15*'Power Model'!$B$4*('Power Model'!$B$7*'Power Model'!$B$8+'Power Model'!$B$9)+E15*'Power Model'!$B$10/100,0)</f>
        <v>367</v>
      </c>
      <c r="N15" s="7"/>
      <c r="O15" s="6" t="s">
        <v>130</v>
      </c>
      <c r="P15" s="6"/>
      <c r="Q15" s="6" t="s">
        <v>105</v>
      </c>
      <c r="R15" s="6" t="s">
        <v>131</v>
      </c>
    </row>
    <row r="16" customFormat="false" ht="28.35" hidden="false" customHeight="false" outlineLevel="0" collapsed="false">
      <c r="A16" s="6" t="s">
        <v>132</v>
      </c>
      <c r="B16" s="6" t="s">
        <v>133</v>
      </c>
      <c r="C16" s="6" t="s">
        <v>45</v>
      </c>
      <c r="D16" s="6" t="n">
        <v>1</v>
      </c>
      <c r="E16" s="7" t="n">
        <v>5700</v>
      </c>
      <c r="F16" s="7" t="n">
        <f aca="false">ROUND(E16*0.8,0)</f>
        <v>4560</v>
      </c>
      <c r="G16" s="6" t="n">
        <v>2</v>
      </c>
      <c r="H16" s="6" t="s">
        <v>46</v>
      </c>
      <c r="I16" s="6" t="n">
        <v>39</v>
      </c>
      <c r="J16" s="8" t="n">
        <f aca="false">'Power Model'!$B$3*2^(D16-2)</f>
        <v>0.5</v>
      </c>
      <c r="K16" s="7"/>
      <c r="L16" s="7" t="n">
        <f aca="false">ROUND(E16*'Power Model'!$B$11,0)</f>
        <v>1425</v>
      </c>
      <c r="M16" s="7" t="n">
        <f aca="false">ROUND(J16*'Power Model'!$B$4*('Power Model'!$B$7*'Power Model'!$B$8+'Power Model'!$B$9)+E16*'Power Model'!$B$10/100,0)</f>
        <v>377</v>
      </c>
      <c r="N16" s="7"/>
      <c r="O16" s="6" t="s">
        <v>130</v>
      </c>
      <c r="P16" s="6"/>
      <c r="Q16" s="6" t="s">
        <v>105</v>
      </c>
      <c r="R16" s="6" t="s">
        <v>131</v>
      </c>
    </row>
    <row r="17" customFormat="false" ht="28.35" hidden="false" customHeight="false" outlineLevel="0" collapsed="false">
      <c r="A17" s="6" t="s">
        <v>134</v>
      </c>
      <c r="B17" s="6" t="s">
        <v>135</v>
      </c>
      <c r="C17" s="6" t="s">
        <v>50</v>
      </c>
      <c r="D17" s="6" t="n">
        <v>1</v>
      </c>
      <c r="E17" s="7" t="n">
        <v>5400</v>
      </c>
      <c r="F17" s="7" t="n">
        <f aca="false">ROUND(E17*0.8,0)</f>
        <v>4320</v>
      </c>
      <c r="G17" s="6" t="n">
        <v>2</v>
      </c>
      <c r="H17" s="6" t="s">
        <v>51</v>
      </c>
      <c r="I17" s="6" t="n">
        <v>34</v>
      </c>
      <c r="J17" s="8" t="n">
        <f aca="false">'Power Model'!$B$3*2^(D17-2)</f>
        <v>0.5</v>
      </c>
      <c r="K17" s="7"/>
      <c r="L17" s="7" t="n">
        <f aca="false">ROUND(E17*'Power Model'!$B$11,0)</f>
        <v>1350</v>
      </c>
      <c r="M17" s="7" t="n">
        <f aca="false">ROUND(J17*'Power Model'!$B$4*('Power Model'!$B$7*'Power Model'!$B$8+'Power Model'!$B$9)+E17*'Power Model'!$B$10/100,0)</f>
        <v>362</v>
      </c>
      <c r="N17" s="7"/>
      <c r="O17" s="6"/>
      <c r="P17" s="6"/>
      <c r="Q17" s="6" t="s">
        <v>105</v>
      </c>
      <c r="R17" s="6" t="s">
        <v>100</v>
      </c>
    </row>
    <row r="18" customFormat="false" ht="28.35" hidden="false" customHeight="false" outlineLevel="0" collapsed="false">
      <c r="A18" s="6" t="s">
        <v>136</v>
      </c>
      <c r="B18" s="6" t="s">
        <v>137</v>
      </c>
      <c r="C18" s="6" t="s">
        <v>50</v>
      </c>
      <c r="D18" s="6" t="n">
        <v>1</v>
      </c>
      <c r="E18" s="7" t="n">
        <v>13400</v>
      </c>
      <c r="F18" s="7" t="n">
        <f aca="false">ROUND(E18*0.8,0)</f>
        <v>10720</v>
      </c>
      <c r="G18" s="6" t="n">
        <v>1</v>
      </c>
      <c r="H18" s="6" t="s">
        <v>51</v>
      </c>
      <c r="I18" s="6" t="n">
        <v>20</v>
      </c>
      <c r="J18" s="8" t="n">
        <f aca="false">'Power Model'!$B$3*2^(D18-2)</f>
        <v>0.5</v>
      </c>
      <c r="K18" s="7"/>
      <c r="L18" s="7" t="n">
        <f aca="false">ROUND(E18*'Power Model'!$B$11,0)</f>
        <v>3350</v>
      </c>
      <c r="M18" s="7" t="n">
        <f aca="false">ROUND(J18*'Power Model'!$B$4*('Power Model'!$B$7*'Power Model'!$B$8+'Power Model'!$B$9)+E18*'Power Model'!$B$10/100,0)</f>
        <v>762</v>
      </c>
      <c r="N18" s="7"/>
      <c r="O18" s="6" t="s">
        <v>108</v>
      </c>
      <c r="P18" s="6"/>
      <c r="Q18" s="6" t="s">
        <v>109</v>
      </c>
      <c r="R18" s="6" t="s">
        <v>100</v>
      </c>
    </row>
    <row r="19" customFormat="false" ht="28.35" hidden="false" customHeight="false" outlineLevel="0" collapsed="false">
      <c r="A19" s="6" t="s">
        <v>138</v>
      </c>
      <c r="B19" s="6" t="s">
        <v>139</v>
      </c>
      <c r="C19" s="6" t="s">
        <v>50</v>
      </c>
      <c r="D19" s="6" t="n">
        <v>1</v>
      </c>
      <c r="E19" s="7" t="n">
        <v>13900</v>
      </c>
      <c r="F19" s="7" t="n">
        <f aca="false">ROUND(E19*0.8,0)</f>
        <v>11120</v>
      </c>
      <c r="G19" s="6" t="n">
        <v>2</v>
      </c>
      <c r="H19" s="6" t="s">
        <v>51</v>
      </c>
      <c r="I19" s="6" t="n">
        <v>23</v>
      </c>
      <c r="J19" s="8" t="n">
        <f aca="false">'Power Model'!$B$3*2^(D19-2)</f>
        <v>0.5</v>
      </c>
      <c r="K19" s="7"/>
      <c r="L19" s="7" t="n">
        <f aca="false">ROUND(E19*'Power Model'!$B$11,0)</f>
        <v>3475</v>
      </c>
      <c r="M19" s="7" t="n">
        <f aca="false">ROUND(J19*'Power Model'!$B$4*('Power Model'!$B$7*'Power Model'!$B$8+'Power Model'!$B$9)+E19*'Power Model'!$B$10/100,0)</f>
        <v>787</v>
      </c>
      <c r="N19" s="7"/>
      <c r="O19" s="6" t="s">
        <v>140</v>
      </c>
      <c r="P19" s="6"/>
      <c r="Q19" s="6" t="s">
        <v>141</v>
      </c>
      <c r="R19" s="6" t="s">
        <v>100</v>
      </c>
    </row>
    <row r="20" customFormat="false" ht="28.35" hidden="false" customHeight="false" outlineLevel="0" collapsed="false">
      <c r="A20" s="6" t="s">
        <v>142</v>
      </c>
      <c r="B20" s="6" t="s">
        <v>143</v>
      </c>
      <c r="C20" s="6" t="s">
        <v>56</v>
      </c>
      <c r="D20" s="6" t="n">
        <v>1</v>
      </c>
      <c r="E20" s="7" t="n">
        <v>5400</v>
      </c>
      <c r="F20" s="7" t="n">
        <f aca="false">ROUND(E20*0.8,0)</f>
        <v>4320</v>
      </c>
      <c r="G20" s="6" t="n">
        <v>1</v>
      </c>
      <c r="H20" s="6" t="s">
        <v>51</v>
      </c>
      <c r="I20" s="6" t="n">
        <v>34</v>
      </c>
      <c r="J20" s="8" t="n">
        <f aca="false">'Power Model'!$B$3*2^(D20-2)</f>
        <v>0.5</v>
      </c>
      <c r="K20" s="7"/>
      <c r="L20" s="7" t="n">
        <f aca="false">ROUND(E20*'Power Model'!$B$11,0)</f>
        <v>1350</v>
      </c>
      <c r="M20" s="7" t="n">
        <f aca="false">ROUND(J20*'Power Model'!$B$4*('Power Model'!$B$7*'Power Model'!$B$8+'Power Model'!$B$9)+E20*'Power Model'!$B$10/100,0)</f>
        <v>362</v>
      </c>
      <c r="N20" s="7"/>
      <c r="O20" s="6"/>
      <c r="P20" s="6"/>
      <c r="Q20" s="6" t="s">
        <v>105</v>
      </c>
      <c r="R20" s="6" t="s">
        <v>100</v>
      </c>
    </row>
    <row r="21" customFormat="false" ht="28.35" hidden="false" customHeight="false" outlineLevel="0" collapsed="false">
      <c r="A21" s="6" t="s">
        <v>144</v>
      </c>
      <c r="B21" s="6" t="s">
        <v>145</v>
      </c>
      <c r="C21" s="6" t="s">
        <v>56</v>
      </c>
      <c r="D21" s="6" t="n">
        <v>1</v>
      </c>
      <c r="E21" s="7" t="n">
        <v>13400</v>
      </c>
      <c r="F21" s="7" t="n">
        <f aca="false">ROUND(E21*0.8,0)</f>
        <v>10720</v>
      </c>
      <c r="G21" s="6" t="n">
        <v>2</v>
      </c>
      <c r="H21" s="6" t="s">
        <v>51</v>
      </c>
      <c r="I21" s="6" t="n">
        <v>20</v>
      </c>
      <c r="J21" s="8" t="n">
        <f aca="false">'Power Model'!$B$3*2^(D21-2)</f>
        <v>0.5</v>
      </c>
      <c r="K21" s="7"/>
      <c r="L21" s="7" t="n">
        <f aca="false">ROUND(E21*'Power Model'!$B$11,0)</f>
        <v>3350</v>
      </c>
      <c r="M21" s="7" t="n">
        <f aca="false">ROUND(J21*'Power Model'!$B$4*('Power Model'!$B$7*'Power Model'!$B$8+'Power Model'!$B$9)+E21*'Power Model'!$B$10/100,0)</f>
        <v>762</v>
      </c>
      <c r="N21" s="7"/>
      <c r="O21" s="6" t="s">
        <v>146</v>
      </c>
      <c r="P21" s="6"/>
      <c r="Q21" s="6" t="s">
        <v>147</v>
      </c>
      <c r="R21" s="6" t="s">
        <v>100</v>
      </c>
    </row>
    <row r="22" customFormat="false" ht="28.35" hidden="false" customHeight="false" outlineLevel="0" collapsed="false">
      <c r="A22" s="6" t="s">
        <v>148</v>
      </c>
      <c r="B22" s="6" t="s">
        <v>149</v>
      </c>
      <c r="C22" s="6" t="s">
        <v>56</v>
      </c>
      <c r="D22" s="6" t="n">
        <v>1</v>
      </c>
      <c r="E22" s="7" t="n">
        <v>13900</v>
      </c>
      <c r="F22" s="7" t="n">
        <f aca="false">ROUND(E22*0.8,0)</f>
        <v>11120</v>
      </c>
      <c r="G22" s="6" t="n">
        <v>1</v>
      </c>
      <c r="H22" s="6" t="s">
        <v>51</v>
      </c>
      <c r="I22" s="6" t="n">
        <v>23</v>
      </c>
      <c r="J22" s="8" t="n">
        <f aca="false">'Power Model'!$B$3*2^(D22-2)</f>
        <v>0.5</v>
      </c>
      <c r="K22" s="7"/>
      <c r="L22" s="7" t="n">
        <f aca="false">ROUND(E22*'Power Model'!$B$11,0)</f>
        <v>3475</v>
      </c>
      <c r="M22" s="7" t="n">
        <f aca="false">ROUND(J22*'Power Model'!$B$4*('Power Model'!$B$7*'Power Model'!$B$8+'Power Model'!$B$9)+E22*'Power Model'!$B$10/100,0)</f>
        <v>787</v>
      </c>
      <c r="N22" s="7"/>
      <c r="O22" s="6" t="s">
        <v>150</v>
      </c>
      <c r="P22" s="6"/>
      <c r="Q22" s="6" t="s">
        <v>151</v>
      </c>
      <c r="R22" s="6" t="s">
        <v>100</v>
      </c>
    </row>
    <row r="23" customFormat="false" ht="28.35" hidden="false" customHeight="false" outlineLevel="0" collapsed="false">
      <c r="A23" s="6" t="s">
        <v>152</v>
      </c>
      <c r="B23" s="6" t="s">
        <v>153</v>
      </c>
      <c r="C23" s="6" t="s">
        <v>61</v>
      </c>
      <c r="D23" s="6" t="n">
        <v>1</v>
      </c>
      <c r="E23" s="7" t="n">
        <v>5400</v>
      </c>
      <c r="F23" s="7" t="n">
        <f aca="false">ROUND(E23*0.8,0)</f>
        <v>4320</v>
      </c>
      <c r="G23" s="6" t="n">
        <v>2</v>
      </c>
      <c r="H23" s="6" t="s">
        <v>62</v>
      </c>
      <c r="I23" s="6" t="n">
        <v>34</v>
      </c>
      <c r="J23" s="8" t="n">
        <f aca="false">'Power Model'!$B$3*2^(D23-2)</f>
        <v>0.5</v>
      </c>
      <c r="K23" s="7"/>
      <c r="L23" s="7" t="n">
        <f aca="false">ROUND(E23*'Power Model'!$B$11,0)</f>
        <v>1350</v>
      </c>
      <c r="M23" s="7" t="n">
        <f aca="false">ROUND(J23*'Power Model'!$B$4*('Power Model'!$B$7*'Power Model'!$B$8+'Power Model'!$B$9)+E23*'Power Model'!$B$10/100,0)</f>
        <v>362</v>
      </c>
      <c r="N23" s="7"/>
      <c r="O23" s="6"/>
      <c r="P23" s="6"/>
      <c r="Q23" s="6" t="s">
        <v>105</v>
      </c>
      <c r="R23" s="6" t="s">
        <v>100</v>
      </c>
    </row>
    <row r="24" customFormat="false" ht="28.35" hidden="false" customHeight="false" outlineLevel="0" collapsed="false">
      <c r="A24" s="6" t="s">
        <v>154</v>
      </c>
      <c r="B24" s="6" t="s">
        <v>155</v>
      </c>
      <c r="C24" s="6" t="s">
        <v>61</v>
      </c>
      <c r="D24" s="6" t="n">
        <v>1</v>
      </c>
      <c r="E24" s="7" t="n">
        <v>13400</v>
      </c>
      <c r="F24" s="7" t="n">
        <f aca="false">ROUND(E24*0.8,0)</f>
        <v>10720</v>
      </c>
      <c r="G24" s="6" t="n">
        <v>1</v>
      </c>
      <c r="H24" s="6" t="s">
        <v>62</v>
      </c>
      <c r="I24" s="6" t="n">
        <v>20</v>
      </c>
      <c r="J24" s="8" t="n">
        <f aca="false">'Power Model'!$B$3*2^(D24-2)</f>
        <v>0.5</v>
      </c>
      <c r="K24" s="7"/>
      <c r="L24" s="7" t="n">
        <f aca="false">ROUND(E24*'Power Model'!$B$11,0)</f>
        <v>3350</v>
      </c>
      <c r="M24" s="7" t="n">
        <f aca="false">ROUND(J24*'Power Model'!$B$4*('Power Model'!$B$7*'Power Model'!$B$8+'Power Model'!$B$9)+E24*'Power Model'!$B$10/100,0)</f>
        <v>762</v>
      </c>
      <c r="N24" s="7"/>
      <c r="O24" s="6" t="s">
        <v>98</v>
      </c>
      <c r="P24" s="6"/>
      <c r="Q24" s="6" t="s">
        <v>99</v>
      </c>
      <c r="R24" s="6" t="s">
        <v>100</v>
      </c>
    </row>
    <row r="25" customFormat="false" ht="28.35" hidden="false" customHeight="false" outlineLevel="0" collapsed="false">
      <c r="A25" s="6" t="s">
        <v>156</v>
      </c>
      <c r="B25" s="6" t="s">
        <v>157</v>
      </c>
      <c r="C25" s="6" t="s">
        <v>61</v>
      </c>
      <c r="D25" s="6" t="n">
        <v>1</v>
      </c>
      <c r="E25" s="7" t="n">
        <v>13900</v>
      </c>
      <c r="F25" s="7" t="n">
        <f aca="false">ROUND(E25*0.8,0)</f>
        <v>11120</v>
      </c>
      <c r="G25" s="6" t="n">
        <v>2</v>
      </c>
      <c r="H25" s="6" t="s">
        <v>62</v>
      </c>
      <c r="I25" s="6" t="n">
        <v>23</v>
      </c>
      <c r="J25" s="8" t="n">
        <f aca="false">'Power Model'!$B$3*2^(D25-2)</f>
        <v>0.5</v>
      </c>
      <c r="K25" s="7"/>
      <c r="L25" s="7" t="n">
        <f aca="false">ROUND(E25*'Power Model'!$B$11,0)</f>
        <v>3475</v>
      </c>
      <c r="M25" s="7" t="n">
        <f aca="false">ROUND(J25*'Power Model'!$B$4*('Power Model'!$B$7*'Power Model'!$B$8+'Power Model'!$B$9)+E25*'Power Model'!$B$10/100,0)</f>
        <v>787</v>
      </c>
      <c r="N25" s="7"/>
      <c r="O25" s="6" t="s">
        <v>118</v>
      </c>
      <c r="P25" s="6"/>
      <c r="Q25" s="6" t="s">
        <v>119</v>
      </c>
      <c r="R25" s="6" t="s">
        <v>100</v>
      </c>
    </row>
    <row r="26" customFormat="false" ht="15" hidden="false" customHeight="false" outlineLevel="0" collapsed="false">
      <c r="A26" s="9" t="s">
        <v>158</v>
      </c>
      <c r="B26" s="9" t="s">
        <v>159</v>
      </c>
      <c r="C26" s="9" t="s">
        <v>17</v>
      </c>
      <c r="D26" s="9" t="n">
        <v>2</v>
      </c>
      <c r="E26" s="10" t="n">
        <v>24800</v>
      </c>
      <c r="F26" s="10" t="n">
        <f aca="false">ROUND(E26*0.8,0)</f>
        <v>19840</v>
      </c>
      <c r="G26" s="9" t="n">
        <v>2</v>
      </c>
      <c r="H26" s="9" t="s">
        <v>18</v>
      </c>
      <c r="I26" s="9" t="n">
        <v>26</v>
      </c>
      <c r="J26" s="11" t="n">
        <f aca="false">'Power Model'!$B$3*2^(D26-2)</f>
        <v>1</v>
      </c>
      <c r="K26" s="10"/>
      <c r="L26" s="10" t="n">
        <f aca="false">ROUND(E26*'Power Model'!$B$11,0)</f>
        <v>6200</v>
      </c>
      <c r="M26" s="10" t="n">
        <f aca="false">ROUND(J26*'Power Model'!$B$4*('Power Model'!$B$7*'Power Model'!$B$8+'Power Model'!$B$9)+E26*'Power Model'!$B$10/100,0)</f>
        <v>1425</v>
      </c>
      <c r="N26" s="10"/>
      <c r="O26" s="9" t="s">
        <v>81</v>
      </c>
      <c r="P26" s="9" t="n">
        <v>4</v>
      </c>
      <c r="Q26" s="9" t="s">
        <v>160</v>
      </c>
      <c r="R26" s="9" t="s">
        <v>161</v>
      </c>
    </row>
    <row r="27" customFormat="false" ht="15" hidden="false" customHeight="false" outlineLevel="0" collapsed="false">
      <c r="A27" s="9" t="s">
        <v>162</v>
      </c>
      <c r="B27" s="9" t="s">
        <v>163</v>
      </c>
      <c r="C27" s="9" t="s">
        <v>17</v>
      </c>
      <c r="D27" s="9" t="n">
        <v>2</v>
      </c>
      <c r="E27" s="10" t="n">
        <v>25900</v>
      </c>
      <c r="F27" s="10" t="n">
        <f aca="false">ROUND(E27*0.8,0)</f>
        <v>20720</v>
      </c>
      <c r="G27" s="9" t="n">
        <v>2</v>
      </c>
      <c r="H27" s="9" t="s">
        <v>18</v>
      </c>
      <c r="I27" s="9" t="n">
        <v>28</v>
      </c>
      <c r="J27" s="11" t="n">
        <f aca="false">'Power Model'!$B$3*2^(D27-2)</f>
        <v>1</v>
      </c>
      <c r="K27" s="10"/>
      <c r="L27" s="10" t="n">
        <f aca="false">ROUND(E27*'Power Model'!$B$11,0)</f>
        <v>6475</v>
      </c>
      <c r="M27" s="10" t="n">
        <f aca="false">ROUND(J27*'Power Model'!$B$4*('Power Model'!$B$7*'Power Model'!$B$8+'Power Model'!$B$9)+E27*'Power Model'!$B$10/100,0)</f>
        <v>1480</v>
      </c>
      <c r="N27" s="10"/>
      <c r="O27" s="9" t="s">
        <v>86</v>
      </c>
      <c r="P27" s="9" t="n">
        <v>4</v>
      </c>
      <c r="Q27" s="9" t="s">
        <v>164</v>
      </c>
      <c r="R27" s="9" t="s">
        <v>161</v>
      </c>
    </row>
    <row r="28" customFormat="false" ht="15" hidden="false" customHeight="false" outlineLevel="0" collapsed="false">
      <c r="A28" s="9" t="s">
        <v>165</v>
      </c>
      <c r="B28" s="9" t="s">
        <v>166</v>
      </c>
      <c r="C28" s="9" t="s">
        <v>17</v>
      </c>
      <c r="D28" s="9" t="n">
        <v>2</v>
      </c>
      <c r="E28" s="10" t="n">
        <v>26900</v>
      </c>
      <c r="F28" s="10" t="n">
        <f aca="false">ROUND(E28*0.8,0)</f>
        <v>21520</v>
      </c>
      <c r="G28" s="9" t="n">
        <v>2</v>
      </c>
      <c r="H28" s="9" t="s">
        <v>18</v>
      </c>
      <c r="I28" s="9" t="n">
        <v>32</v>
      </c>
      <c r="J28" s="11" t="n">
        <f aca="false">'Power Model'!$B$3*2^(D28-2)</f>
        <v>1</v>
      </c>
      <c r="K28" s="10"/>
      <c r="L28" s="10" t="n">
        <f aca="false">ROUND(E28*'Power Model'!$B$11,0)</f>
        <v>6725</v>
      </c>
      <c r="M28" s="10" t="n">
        <f aca="false">ROUND(J28*'Power Model'!$B$4*('Power Model'!$B$7*'Power Model'!$B$8+'Power Model'!$B$9)+E28*'Power Model'!$B$10/100,0)</f>
        <v>1530</v>
      </c>
      <c r="N28" s="10"/>
      <c r="O28" s="9" t="s">
        <v>90</v>
      </c>
      <c r="P28" s="9" t="n">
        <v>4</v>
      </c>
      <c r="Q28" s="9" t="s">
        <v>167</v>
      </c>
      <c r="R28" s="9" t="s">
        <v>161</v>
      </c>
    </row>
    <row r="29" customFormat="false" ht="15" hidden="false" customHeight="false" outlineLevel="0" collapsed="false">
      <c r="A29" s="9" t="s">
        <v>168</v>
      </c>
      <c r="B29" s="9" t="s">
        <v>169</v>
      </c>
      <c r="C29" s="9" t="s">
        <v>17</v>
      </c>
      <c r="D29" s="9" t="n">
        <v>2</v>
      </c>
      <c r="E29" s="10" t="n">
        <v>28000</v>
      </c>
      <c r="F29" s="10" t="n">
        <f aca="false">ROUND(E29*0.8,0)</f>
        <v>22400</v>
      </c>
      <c r="G29" s="9" t="n">
        <v>2</v>
      </c>
      <c r="H29" s="9" t="s">
        <v>18</v>
      </c>
      <c r="I29" s="9" t="n">
        <v>34</v>
      </c>
      <c r="J29" s="11" t="n">
        <f aca="false">'Power Model'!$B$3*2^(D29-2)</f>
        <v>1</v>
      </c>
      <c r="K29" s="10"/>
      <c r="L29" s="10" t="n">
        <f aca="false">ROUND(E29*'Power Model'!$B$11,0)</f>
        <v>7000</v>
      </c>
      <c r="M29" s="10" t="n">
        <f aca="false">ROUND(J29*'Power Model'!$B$4*('Power Model'!$B$7*'Power Model'!$B$8+'Power Model'!$B$9)+E29*'Power Model'!$B$10/100,0)</f>
        <v>1585</v>
      </c>
      <c r="N29" s="10"/>
      <c r="O29" s="9" t="s">
        <v>94</v>
      </c>
      <c r="P29" s="9" t="n">
        <v>4</v>
      </c>
      <c r="Q29" s="9" t="s">
        <v>170</v>
      </c>
      <c r="R29" s="9" t="s">
        <v>161</v>
      </c>
    </row>
    <row r="30" customFormat="false" ht="15" hidden="false" customHeight="false" outlineLevel="0" collapsed="false">
      <c r="A30" s="9" t="s">
        <v>171</v>
      </c>
      <c r="B30" s="9" t="s">
        <v>172</v>
      </c>
      <c r="C30" s="9" t="s">
        <v>24</v>
      </c>
      <c r="D30" s="9" t="n">
        <v>2</v>
      </c>
      <c r="E30" s="10" t="n">
        <v>30000</v>
      </c>
      <c r="F30" s="10" t="n">
        <f aca="false">ROUND(E30*0.8,0)</f>
        <v>24000</v>
      </c>
      <c r="G30" s="9" t="n">
        <v>2</v>
      </c>
      <c r="H30" s="9" t="s">
        <v>18</v>
      </c>
      <c r="I30" s="9" t="n">
        <v>27</v>
      </c>
      <c r="J30" s="11" t="n">
        <f aca="false">'Power Model'!$B$3*2^(D30-2)</f>
        <v>1</v>
      </c>
      <c r="K30" s="10"/>
      <c r="L30" s="10" t="n">
        <f aca="false">ROUND(E30*'Power Model'!$B$11,0)</f>
        <v>7500</v>
      </c>
      <c r="M30" s="10" t="n">
        <f aca="false">ROUND(J30*'Power Model'!$B$4*('Power Model'!$B$7*'Power Model'!$B$8+'Power Model'!$B$9)+E30*'Power Model'!$B$10/100,0)</f>
        <v>1685</v>
      </c>
      <c r="N30" s="10"/>
      <c r="O30" s="9" t="s">
        <v>98</v>
      </c>
      <c r="P30" s="9"/>
      <c r="Q30" s="9" t="s">
        <v>173</v>
      </c>
      <c r="R30" s="9" t="s">
        <v>174</v>
      </c>
    </row>
    <row r="31" customFormat="false" ht="15" hidden="false" customHeight="false" outlineLevel="0" collapsed="false">
      <c r="A31" s="9" t="s">
        <v>175</v>
      </c>
      <c r="B31" s="9" t="s">
        <v>176</v>
      </c>
      <c r="C31" s="9" t="s">
        <v>24</v>
      </c>
      <c r="D31" s="9" t="n">
        <v>2</v>
      </c>
      <c r="E31" s="10" t="n">
        <v>31200</v>
      </c>
      <c r="F31" s="10" t="n">
        <f aca="false">ROUND(E31*0.8,0)</f>
        <v>24960</v>
      </c>
      <c r="G31" s="9" t="n">
        <v>2</v>
      </c>
      <c r="H31" s="9" t="s">
        <v>18</v>
      </c>
      <c r="I31" s="9" t="n">
        <v>30</v>
      </c>
      <c r="J31" s="11" t="n">
        <f aca="false">'Power Model'!$B$3*2^(D31-2)</f>
        <v>1</v>
      </c>
      <c r="K31" s="10"/>
      <c r="L31" s="10" t="n">
        <f aca="false">ROUND(E31*'Power Model'!$B$11,0)</f>
        <v>7800</v>
      </c>
      <c r="M31" s="10" t="n">
        <f aca="false">ROUND(J31*'Power Model'!$B$4*('Power Model'!$B$7*'Power Model'!$B$8+'Power Model'!$B$9)+E31*'Power Model'!$B$10/100,0)</f>
        <v>1745</v>
      </c>
      <c r="N31" s="10"/>
      <c r="O31" s="9" t="s">
        <v>86</v>
      </c>
      <c r="P31" s="9"/>
      <c r="Q31" s="9" t="s">
        <v>164</v>
      </c>
      <c r="R31" s="9" t="s">
        <v>174</v>
      </c>
    </row>
    <row r="32" customFormat="false" ht="15" hidden="false" customHeight="false" outlineLevel="0" collapsed="false">
      <c r="A32" s="9" t="s">
        <v>177</v>
      </c>
      <c r="B32" s="9" t="s">
        <v>178</v>
      </c>
      <c r="C32" s="9" t="s">
        <v>24</v>
      </c>
      <c r="D32" s="9" t="n">
        <v>2</v>
      </c>
      <c r="E32" s="10" t="n">
        <v>32400</v>
      </c>
      <c r="F32" s="10" t="n">
        <f aca="false">ROUND(E32*0.8,0)</f>
        <v>25920</v>
      </c>
      <c r="G32" s="9" t="n">
        <v>2</v>
      </c>
      <c r="H32" s="9" t="s">
        <v>18</v>
      </c>
      <c r="I32" s="9" t="n">
        <v>33</v>
      </c>
      <c r="J32" s="11" t="n">
        <f aca="false">'Power Model'!$B$3*2^(D32-2)</f>
        <v>1</v>
      </c>
      <c r="K32" s="10"/>
      <c r="L32" s="10" t="n">
        <f aca="false">ROUND(E32*'Power Model'!$B$11,0)</f>
        <v>8100</v>
      </c>
      <c r="M32" s="10" t="n">
        <f aca="false">ROUND(J32*'Power Model'!$B$4*('Power Model'!$B$7*'Power Model'!$B$8+'Power Model'!$B$9)+E32*'Power Model'!$B$10/100,0)</f>
        <v>1805</v>
      </c>
      <c r="N32" s="10"/>
      <c r="O32" s="9" t="s">
        <v>179</v>
      </c>
      <c r="P32" s="9"/>
      <c r="Q32" s="9" t="s">
        <v>180</v>
      </c>
      <c r="R32" s="9" t="s">
        <v>174</v>
      </c>
    </row>
    <row r="33" customFormat="false" ht="15" hidden="false" customHeight="false" outlineLevel="0" collapsed="false">
      <c r="A33" s="9" t="s">
        <v>181</v>
      </c>
      <c r="B33" s="9" t="s">
        <v>182</v>
      </c>
      <c r="C33" s="9" t="s">
        <v>33</v>
      </c>
      <c r="D33" s="9" t="n">
        <v>2</v>
      </c>
      <c r="E33" s="10" t="n">
        <v>30000</v>
      </c>
      <c r="F33" s="10" t="n">
        <f aca="false">ROUND(E33*0.8,0)</f>
        <v>24000</v>
      </c>
      <c r="G33" s="9" t="n">
        <v>3</v>
      </c>
      <c r="H33" s="9" t="s">
        <v>67</v>
      </c>
      <c r="I33" s="9" t="n">
        <v>27</v>
      </c>
      <c r="J33" s="11" t="n">
        <f aca="false">'Power Model'!$B$3*2^(D33-2)</f>
        <v>1</v>
      </c>
      <c r="K33" s="10"/>
      <c r="L33" s="10" t="n">
        <f aca="false">ROUND(E33*'Power Model'!$B$11,0)</f>
        <v>7500</v>
      </c>
      <c r="M33" s="10" t="n">
        <f aca="false">ROUND(J33*'Power Model'!$B$4*('Power Model'!$B$7*'Power Model'!$B$8+'Power Model'!$B$9)+E33*'Power Model'!$B$10/100,0)</f>
        <v>1685</v>
      </c>
      <c r="N33" s="10"/>
      <c r="O33" s="9" t="s">
        <v>108</v>
      </c>
      <c r="P33" s="9"/>
      <c r="Q33" s="9" t="s">
        <v>183</v>
      </c>
      <c r="R33" s="9" t="s">
        <v>174</v>
      </c>
    </row>
    <row r="34" customFormat="false" ht="15" hidden="false" customHeight="false" outlineLevel="0" collapsed="false">
      <c r="A34" s="9" t="s">
        <v>184</v>
      </c>
      <c r="B34" s="9" t="s">
        <v>185</v>
      </c>
      <c r="C34" s="9" t="s">
        <v>33</v>
      </c>
      <c r="D34" s="9" t="n">
        <v>2</v>
      </c>
      <c r="E34" s="10" t="n">
        <v>31200</v>
      </c>
      <c r="F34" s="10" t="n">
        <f aca="false">ROUND(E34*0.8,0)</f>
        <v>24960</v>
      </c>
      <c r="G34" s="9" t="n">
        <v>2</v>
      </c>
      <c r="H34" s="9" t="s">
        <v>67</v>
      </c>
      <c r="I34" s="9" t="n">
        <v>30</v>
      </c>
      <c r="J34" s="11" t="n">
        <f aca="false">'Power Model'!$B$3*2^(D34-2)</f>
        <v>1</v>
      </c>
      <c r="K34" s="10"/>
      <c r="L34" s="10" t="n">
        <f aca="false">ROUND(E34*'Power Model'!$B$11,0)</f>
        <v>7800</v>
      </c>
      <c r="M34" s="10" t="n">
        <f aca="false">ROUND(J34*'Power Model'!$B$4*('Power Model'!$B$7*'Power Model'!$B$8+'Power Model'!$B$9)+E34*'Power Model'!$B$10/100,0)</f>
        <v>1745</v>
      </c>
      <c r="N34" s="10"/>
      <c r="O34" s="9" t="s">
        <v>112</v>
      </c>
      <c r="P34" s="9"/>
      <c r="Q34" s="9" t="s">
        <v>186</v>
      </c>
      <c r="R34" s="9" t="s">
        <v>174</v>
      </c>
    </row>
    <row r="35" customFormat="false" ht="15" hidden="false" customHeight="false" outlineLevel="0" collapsed="false">
      <c r="A35" s="9" t="s">
        <v>187</v>
      </c>
      <c r="B35" s="9" t="s">
        <v>188</v>
      </c>
      <c r="C35" s="9" t="s">
        <v>33</v>
      </c>
      <c r="D35" s="9" t="n">
        <v>2</v>
      </c>
      <c r="E35" s="10" t="n">
        <v>32400</v>
      </c>
      <c r="F35" s="10" t="n">
        <f aca="false">ROUND(E35*0.8,0)</f>
        <v>25920</v>
      </c>
      <c r="G35" s="9" t="n">
        <v>3</v>
      </c>
      <c r="H35" s="9" t="s">
        <v>67</v>
      </c>
      <c r="I35" s="9" t="n">
        <v>33</v>
      </c>
      <c r="J35" s="11" t="n">
        <f aca="false">'Power Model'!$B$3*2^(D35-2)</f>
        <v>1</v>
      </c>
      <c r="K35" s="10"/>
      <c r="L35" s="10" t="n">
        <f aca="false">ROUND(E35*'Power Model'!$B$11,0)</f>
        <v>8100</v>
      </c>
      <c r="M35" s="10" t="n">
        <f aca="false">ROUND(J35*'Power Model'!$B$4*('Power Model'!$B$7*'Power Model'!$B$8+'Power Model'!$B$9)+E35*'Power Model'!$B$10/100,0)</f>
        <v>1805</v>
      </c>
      <c r="N35" s="10"/>
      <c r="O35" s="9" t="s">
        <v>140</v>
      </c>
      <c r="P35" s="9"/>
      <c r="Q35" s="9" t="s">
        <v>189</v>
      </c>
      <c r="R35" s="9" t="s">
        <v>174</v>
      </c>
    </row>
    <row r="36" customFormat="false" ht="15" hidden="false" customHeight="false" outlineLevel="0" collapsed="false">
      <c r="A36" s="9" t="s">
        <v>190</v>
      </c>
      <c r="B36" s="9" t="s">
        <v>191</v>
      </c>
      <c r="C36" s="9" t="s">
        <v>66</v>
      </c>
      <c r="D36" s="9" t="n">
        <v>2</v>
      </c>
      <c r="E36" s="10" t="n">
        <v>30000</v>
      </c>
      <c r="F36" s="10" t="n">
        <f aca="false">ROUND(E36*0.8,0)</f>
        <v>24000</v>
      </c>
      <c r="G36" s="9" t="n">
        <v>2</v>
      </c>
      <c r="H36" s="9" t="s">
        <v>67</v>
      </c>
      <c r="I36" s="9" t="n">
        <v>27</v>
      </c>
      <c r="J36" s="11" t="n">
        <f aca="false">'Power Model'!$B$3*2^(D36-2)</f>
        <v>1</v>
      </c>
      <c r="K36" s="10" t="n">
        <f aca="false">'Power Model'!$B$4*'Power Model'!$B$5*J36</f>
        <v>1344</v>
      </c>
      <c r="L36" s="10" t="n">
        <f aca="false">ROUND(E36*'Power Model'!$B$11,0)</f>
        <v>7500</v>
      </c>
      <c r="M36" s="10" t="n">
        <f aca="false">ROUND(J36*'Power Model'!$B$4*('Power Model'!$B$7*'Power Model'!$B$8+'Power Model'!$B$9)+E36*'Power Model'!$B$10/100,0)</f>
        <v>1685</v>
      </c>
      <c r="N36" s="10" t="n">
        <f aca="false">ROUND(K36*('Power Model'!$B$7*'Power Model'!$B$8+'Power Model'!$B$9),0)</f>
        <v>1478</v>
      </c>
      <c r="O36" s="9" t="s">
        <v>118</v>
      </c>
      <c r="P36" s="9"/>
      <c r="Q36" s="9" t="s">
        <v>192</v>
      </c>
      <c r="R36" s="9" t="s">
        <v>193</v>
      </c>
    </row>
    <row r="37" customFormat="false" ht="15" hidden="false" customHeight="false" outlineLevel="0" collapsed="false">
      <c r="A37" s="9" t="s">
        <v>194</v>
      </c>
      <c r="B37" s="9" t="s">
        <v>195</v>
      </c>
      <c r="C37" s="9" t="s">
        <v>66</v>
      </c>
      <c r="D37" s="9" t="n">
        <v>2</v>
      </c>
      <c r="E37" s="10" t="n">
        <v>31200</v>
      </c>
      <c r="F37" s="10" t="n">
        <f aca="false">ROUND(E37*0.8,0)</f>
        <v>24960</v>
      </c>
      <c r="G37" s="9" t="n">
        <v>3</v>
      </c>
      <c r="H37" s="9" t="s">
        <v>67</v>
      </c>
      <c r="I37" s="9" t="n">
        <v>30</v>
      </c>
      <c r="J37" s="11" t="n">
        <f aca="false">'Power Model'!$B$3*2^(D37-2)</f>
        <v>1</v>
      </c>
      <c r="K37" s="10" t="n">
        <f aca="false">'Power Model'!$B$4*'Power Model'!$B$5*J37</f>
        <v>1344</v>
      </c>
      <c r="L37" s="10" t="n">
        <f aca="false">ROUND(E37*'Power Model'!$B$11,0)</f>
        <v>7800</v>
      </c>
      <c r="M37" s="10" t="n">
        <f aca="false">ROUND(J37*'Power Model'!$B$4*('Power Model'!$B$7*'Power Model'!$B$8+'Power Model'!$B$9)+E37*'Power Model'!$B$10/100,0)</f>
        <v>1745</v>
      </c>
      <c r="N37" s="10" t="n">
        <f aca="false">ROUND(K37*('Power Model'!$B$7*'Power Model'!$B$8+'Power Model'!$B$9),0)</f>
        <v>1478</v>
      </c>
      <c r="O37" s="9" t="s">
        <v>123</v>
      </c>
      <c r="P37" s="9"/>
      <c r="Q37" s="9" t="s">
        <v>124</v>
      </c>
      <c r="R37" s="9" t="s">
        <v>193</v>
      </c>
    </row>
    <row r="38" customFormat="false" ht="28.35" hidden="false" customHeight="false" outlineLevel="0" collapsed="false">
      <c r="A38" s="9" t="s">
        <v>196</v>
      </c>
      <c r="B38" s="9" t="s">
        <v>197</v>
      </c>
      <c r="C38" s="9" t="s">
        <v>66</v>
      </c>
      <c r="D38" s="9" t="n">
        <v>2</v>
      </c>
      <c r="E38" s="10" t="n">
        <v>46000</v>
      </c>
      <c r="F38" s="10" t="n">
        <f aca="false">ROUND(E38*0.8,0)</f>
        <v>36800</v>
      </c>
      <c r="G38" s="9" t="n">
        <v>2</v>
      </c>
      <c r="H38" s="9" t="s">
        <v>67</v>
      </c>
      <c r="I38" s="9" t="n">
        <v>59</v>
      </c>
      <c r="J38" s="11" t="n">
        <f aca="false">'Power Model'!$B$3*2^(D38-2)</f>
        <v>1</v>
      </c>
      <c r="K38" s="10" t="n">
        <f aca="false">'Power Model'!$B$4*'Power Model'!$B$5*J38*'Power Model'!$B$12</f>
        <v>4032</v>
      </c>
      <c r="L38" s="10" t="n">
        <f aca="false">ROUND(E38*'Power Model'!$B$11,0)</f>
        <v>11500</v>
      </c>
      <c r="M38" s="10" t="n">
        <f aca="false">ROUND(J38*'Power Model'!$B$4*('Power Model'!$B$7*'Power Model'!$B$8+'Power Model'!$B$9)+E38*'Power Model'!$B$10/100,0)</f>
        <v>2485</v>
      </c>
      <c r="N38" s="10" t="n">
        <f aca="false">ROUND(K38*('Power Model'!$B$7*'Power Model'!$B$8+'Power Model'!$B$9),0)</f>
        <v>4435</v>
      </c>
      <c r="O38" s="9"/>
      <c r="P38" s="9"/>
      <c r="Q38" s="9" t="s">
        <v>198</v>
      </c>
      <c r="R38" s="9" t="s">
        <v>199</v>
      </c>
    </row>
    <row r="39" customFormat="false" ht="28.35" hidden="false" customHeight="false" outlineLevel="0" collapsed="false">
      <c r="A39" s="9" t="s">
        <v>200</v>
      </c>
      <c r="B39" s="9" t="s">
        <v>201</v>
      </c>
      <c r="C39" s="9" t="s">
        <v>45</v>
      </c>
      <c r="D39" s="9" t="n">
        <v>2</v>
      </c>
      <c r="E39" s="10" t="n">
        <v>30600</v>
      </c>
      <c r="F39" s="10" t="n">
        <f aca="false">ROUND(E39*0.8,0)</f>
        <v>24480</v>
      </c>
      <c r="G39" s="9" t="n">
        <v>3</v>
      </c>
      <c r="H39" s="9" t="s">
        <v>46</v>
      </c>
      <c r="I39" s="9" t="n">
        <v>28</v>
      </c>
      <c r="J39" s="11" t="n">
        <f aca="false">'Power Model'!$B$3*2^(D39-2)</f>
        <v>1</v>
      </c>
      <c r="K39" s="10"/>
      <c r="L39" s="10" t="n">
        <f aca="false">ROUND(E39*'Power Model'!$B$11,0)</f>
        <v>7650</v>
      </c>
      <c r="M39" s="10" t="n">
        <f aca="false">ROUND(J39*'Power Model'!$B$4*('Power Model'!$B$7*'Power Model'!$B$8+'Power Model'!$B$9)+E39*'Power Model'!$B$10/100,0)</f>
        <v>1715</v>
      </c>
      <c r="N39" s="10"/>
      <c r="O39" s="9" t="s">
        <v>202</v>
      </c>
      <c r="P39" s="9"/>
      <c r="Q39" s="9" t="s">
        <v>124</v>
      </c>
      <c r="R39" s="9" t="s">
        <v>203</v>
      </c>
    </row>
    <row r="40" customFormat="false" ht="28.35" hidden="false" customHeight="false" outlineLevel="0" collapsed="false">
      <c r="A40" s="9" t="s">
        <v>204</v>
      </c>
      <c r="B40" s="9" t="s">
        <v>205</v>
      </c>
      <c r="C40" s="9" t="s">
        <v>45</v>
      </c>
      <c r="D40" s="9" t="n">
        <v>2</v>
      </c>
      <c r="E40" s="10" t="n">
        <v>18200</v>
      </c>
      <c r="F40" s="10" t="n">
        <f aca="false">ROUND(E40*0.8,0)</f>
        <v>14560</v>
      </c>
      <c r="G40" s="9" t="n">
        <v>3</v>
      </c>
      <c r="H40" s="9" t="s">
        <v>46</v>
      </c>
      <c r="I40" s="9" t="n">
        <v>58</v>
      </c>
      <c r="J40" s="11" t="n">
        <f aca="false">'Power Model'!$B$3*2^(D40-2)</f>
        <v>1</v>
      </c>
      <c r="K40" s="10"/>
      <c r="L40" s="10" t="n">
        <f aca="false">ROUND(E40*'Power Model'!$B$11,0)</f>
        <v>4550</v>
      </c>
      <c r="M40" s="10" t="n">
        <f aca="false">ROUND(J40*'Power Model'!$B$4*('Power Model'!$B$7*'Power Model'!$B$8+'Power Model'!$B$9)+E40*'Power Model'!$B$10/100,0)</f>
        <v>1095</v>
      </c>
      <c r="N40" s="10"/>
      <c r="O40" s="9" t="s">
        <v>130</v>
      </c>
      <c r="P40" s="9"/>
      <c r="Q40" s="9" t="s">
        <v>198</v>
      </c>
      <c r="R40" s="9" t="s">
        <v>203</v>
      </c>
    </row>
    <row r="41" customFormat="false" ht="15" hidden="false" customHeight="false" outlineLevel="0" collapsed="false">
      <c r="A41" s="9" t="s">
        <v>206</v>
      </c>
      <c r="B41" s="9" t="s">
        <v>207</v>
      </c>
      <c r="C41" s="9" t="s">
        <v>50</v>
      </c>
      <c r="D41" s="9" t="n">
        <v>2</v>
      </c>
      <c r="E41" s="10" t="n">
        <v>30000</v>
      </c>
      <c r="F41" s="10" t="n">
        <f aca="false">ROUND(E41*0.8,0)</f>
        <v>24000</v>
      </c>
      <c r="G41" s="9" t="n">
        <v>3</v>
      </c>
      <c r="H41" s="9" t="s">
        <v>51</v>
      </c>
      <c r="I41" s="9" t="n">
        <v>27</v>
      </c>
      <c r="J41" s="11" t="n">
        <f aca="false">'Power Model'!$B$3*2^(D41-2)</f>
        <v>1</v>
      </c>
      <c r="K41" s="10"/>
      <c r="L41" s="10" t="n">
        <f aca="false">ROUND(E41*'Power Model'!$B$11,0)</f>
        <v>7500</v>
      </c>
      <c r="M41" s="10" t="n">
        <f aca="false">ROUND(J41*'Power Model'!$B$4*('Power Model'!$B$7*'Power Model'!$B$8+'Power Model'!$B$9)+E41*'Power Model'!$B$10/100,0)</f>
        <v>1685</v>
      </c>
      <c r="N41" s="10"/>
      <c r="O41" s="9" t="s">
        <v>140</v>
      </c>
      <c r="P41" s="9"/>
      <c r="Q41" s="9" t="s">
        <v>189</v>
      </c>
      <c r="R41" s="9" t="s">
        <v>174</v>
      </c>
    </row>
    <row r="42" customFormat="false" ht="15" hidden="false" customHeight="false" outlineLevel="0" collapsed="false">
      <c r="A42" s="9" t="s">
        <v>208</v>
      </c>
      <c r="B42" s="9" t="s">
        <v>209</v>
      </c>
      <c r="C42" s="9" t="s">
        <v>50</v>
      </c>
      <c r="D42" s="9" t="n">
        <v>2</v>
      </c>
      <c r="E42" s="10" t="n">
        <v>31200</v>
      </c>
      <c r="F42" s="10" t="n">
        <f aca="false">ROUND(E42*0.8,0)</f>
        <v>24960</v>
      </c>
      <c r="G42" s="9" t="n">
        <v>2</v>
      </c>
      <c r="H42" s="9" t="s">
        <v>51</v>
      </c>
      <c r="I42" s="9" t="n">
        <v>30</v>
      </c>
      <c r="J42" s="11" t="n">
        <f aca="false">'Power Model'!$B$3*2^(D42-2)</f>
        <v>1</v>
      </c>
      <c r="K42" s="10"/>
      <c r="L42" s="10" t="n">
        <f aca="false">ROUND(E42*'Power Model'!$B$11,0)</f>
        <v>7800</v>
      </c>
      <c r="M42" s="10" t="n">
        <f aca="false">ROUND(J42*'Power Model'!$B$4*('Power Model'!$B$7*'Power Model'!$B$8+'Power Model'!$B$9)+E42*'Power Model'!$B$10/100,0)</f>
        <v>1745</v>
      </c>
      <c r="N42" s="10"/>
      <c r="O42" s="9" t="s">
        <v>108</v>
      </c>
      <c r="P42" s="9"/>
      <c r="Q42" s="9" t="s">
        <v>183</v>
      </c>
      <c r="R42" s="9" t="s">
        <v>174</v>
      </c>
    </row>
    <row r="43" customFormat="false" ht="15" hidden="false" customHeight="false" outlineLevel="0" collapsed="false">
      <c r="A43" s="9" t="s">
        <v>210</v>
      </c>
      <c r="B43" s="9" t="s">
        <v>211</v>
      </c>
      <c r="C43" s="9" t="s">
        <v>50</v>
      </c>
      <c r="D43" s="9" t="n">
        <v>2</v>
      </c>
      <c r="E43" s="10" t="n">
        <v>32400</v>
      </c>
      <c r="F43" s="10" t="n">
        <f aca="false">ROUND(E43*0.8,0)</f>
        <v>25920</v>
      </c>
      <c r="G43" s="9" t="n">
        <v>3</v>
      </c>
      <c r="H43" s="9" t="s">
        <v>51</v>
      </c>
      <c r="I43" s="9" t="n">
        <v>33</v>
      </c>
      <c r="J43" s="11" t="n">
        <f aca="false">'Power Model'!$B$3*2^(D43-2)</f>
        <v>1</v>
      </c>
      <c r="K43" s="10"/>
      <c r="L43" s="10" t="n">
        <f aca="false">ROUND(E43*'Power Model'!$B$11,0)</f>
        <v>8100</v>
      </c>
      <c r="M43" s="10" t="n">
        <f aca="false">ROUND(J43*'Power Model'!$B$4*('Power Model'!$B$7*'Power Model'!$B$8+'Power Model'!$B$9)+E43*'Power Model'!$B$10/100,0)</f>
        <v>1805</v>
      </c>
      <c r="N43" s="10"/>
      <c r="O43" s="9" t="s">
        <v>118</v>
      </c>
      <c r="P43" s="9"/>
      <c r="Q43" s="9" t="s">
        <v>192</v>
      </c>
      <c r="R43" s="9" t="s">
        <v>174</v>
      </c>
    </row>
    <row r="44" customFormat="false" ht="15" hidden="false" customHeight="false" outlineLevel="0" collapsed="false">
      <c r="A44" s="9" t="s">
        <v>212</v>
      </c>
      <c r="B44" s="9" t="s">
        <v>213</v>
      </c>
      <c r="C44" s="9" t="s">
        <v>56</v>
      </c>
      <c r="D44" s="9" t="n">
        <v>2</v>
      </c>
      <c r="E44" s="10" t="n">
        <v>30000</v>
      </c>
      <c r="F44" s="10" t="n">
        <f aca="false">ROUND(E44*0.8,0)</f>
        <v>24000</v>
      </c>
      <c r="G44" s="9" t="n">
        <v>2</v>
      </c>
      <c r="H44" s="9" t="s">
        <v>51</v>
      </c>
      <c r="I44" s="9" t="n">
        <v>27</v>
      </c>
      <c r="J44" s="11" t="n">
        <f aca="false">'Power Model'!$B$3*2^(D44-2)</f>
        <v>1</v>
      </c>
      <c r="K44" s="10"/>
      <c r="L44" s="10" t="n">
        <f aca="false">ROUND(E44*'Power Model'!$B$11,0)</f>
        <v>7500</v>
      </c>
      <c r="M44" s="10" t="n">
        <f aca="false">ROUND(J44*'Power Model'!$B$4*('Power Model'!$B$7*'Power Model'!$B$8+'Power Model'!$B$9)+E44*'Power Model'!$B$10/100,0)</f>
        <v>1685</v>
      </c>
      <c r="N44" s="10"/>
      <c r="O44" s="9" t="s">
        <v>179</v>
      </c>
      <c r="P44" s="9"/>
      <c r="Q44" s="9" t="s">
        <v>180</v>
      </c>
      <c r="R44" s="9" t="s">
        <v>174</v>
      </c>
    </row>
    <row r="45" customFormat="false" ht="15" hidden="false" customHeight="false" outlineLevel="0" collapsed="false">
      <c r="A45" s="9" t="s">
        <v>214</v>
      </c>
      <c r="B45" s="9" t="s">
        <v>215</v>
      </c>
      <c r="C45" s="9" t="s">
        <v>56</v>
      </c>
      <c r="D45" s="9" t="n">
        <v>2</v>
      </c>
      <c r="E45" s="10" t="n">
        <v>31200</v>
      </c>
      <c r="F45" s="10" t="n">
        <f aca="false">ROUND(E45*0.8,0)</f>
        <v>24960</v>
      </c>
      <c r="G45" s="9" t="n">
        <v>3</v>
      </c>
      <c r="H45" s="9" t="s">
        <v>51</v>
      </c>
      <c r="I45" s="9" t="n">
        <v>30</v>
      </c>
      <c r="J45" s="11" t="n">
        <f aca="false">'Power Model'!$B$3*2^(D45-2)</f>
        <v>1</v>
      </c>
      <c r="K45" s="10"/>
      <c r="L45" s="10" t="n">
        <f aca="false">ROUND(E45*'Power Model'!$B$11,0)</f>
        <v>7800</v>
      </c>
      <c r="M45" s="10" t="n">
        <f aca="false">ROUND(J45*'Power Model'!$B$4*('Power Model'!$B$7*'Power Model'!$B$8+'Power Model'!$B$9)+E45*'Power Model'!$B$10/100,0)</f>
        <v>1745</v>
      </c>
      <c r="N45" s="10"/>
      <c r="O45" s="9" t="s">
        <v>146</v>
      </c>
      <c r="P45" s="9"/>
      <c r="Q45" s="9" t="s">
        <v>216</v>
      </c>
      <c r="R45" s="9" t="s">
        <v>174</v>
      </c>
    </row>
    <row r="46" customFormat="false" ht="15" hidden="false" customHeight="false" outlineLevel="0" collapsed="false">
      <c r="A46" s="9" t="s">
        <v>217</v>
      </c>
      <c r="B46" s="9" t="s">
        <v>218</v>
      </c>
      <c r="C46" s="9" t="s">
        <v>56</v>
      </c>
      <c r="D46" s="9" t="n">
        <v>2</v>
      </c>
      <c r="E46" s="10" t="n">
        <v>32400</v>
      </c>
      <c r="F46" s="10" t="n">
        <f aca="false">ROUND(E46*0.8,0)</f>
        <v>25920</v>
      </c>
      <c r="G46" s="9" t="n">
        <v>2</v>
      </c>
      <c r="H46" s="9" t="s">
        <v>51</v>
      </c>
      <c r="I46" s="9" t="n">
        <v>33</v>
      </c>
      <c r="J46" s="11" t="n">
        <f aca="false">'Power Model'!$B$3*2^(D46-2)</f>
        <v>1</v>
      </c>
      <c r="K46" s="10"/>
      <c r="L46" s="10" t="n">
        <f aca="false">ROUND(E46*'Power Model'!$B$11,0)</f>
        <v>8100</v>
      </c>
      <c r="M46" s="10" t="n">
        <f aca="false">ROUND(J46*'Power Model'!$B$4*('Power Model'!$B$7*'Power Model'!$B$8+'Power Model'!$B$9)+E46*'Power Model'!$B$10/100,0)</f>
        <v>1805</v>
      </c>
      <c r="N46" s="10"/>
      <c r="O46" s="9" t="s">
        <v>150</v>
      </c>
      <c r="P46" s="9"/>
      <c r="Q46" s="9" t="s">
        <v>219</v>
      </c>
      <c r="R46" s="9" t="s">
        <v>174</v>
      </c>
    </row>
    <row r="47" customFormat="false" ht="15" hidden="false" customHeight="false" outlineLevel="0" collapsed="false">
      <c r="A47" s="9" t="s">
        <v>220</v>
      </c>
      <c r="B47" s="9" t="s">
        <v>221</v>
      </c>
      <c r="C47" s="9" t="s">
        <v>61</v>
      </c>
      <c r="D47" s="9" t="n">
        <v>2</v>
      </c>
      <c r="E47" s="10" t="n">
        <v>30000</v>
      </c>
      <c r="F47" s="10" t="n">
        <f aca="false">ROUND(E47*0.8,0)</f>
        <v>24000</v>
      </c>
      <c r="G47" s="9" t="n">
        <v>3</v>
      </c>
      <c r="H47" s="9" t="s">
        <v>62</v>
      </c>
      <c r="I47" s="9" t="n">
        <v>27</v>
      </c>
      <c r="J47" s="11" t="n">
        <f aca="false">'Power Model'!$B$3*2^(D47-2)</f>
        <v>1</v>
      </c>
      <c r="K47" s="10"/>
      <c r="L47" s="10" t="n">
        <f aca="false">ROUND(E47*'Power Model'!$B$11,0)</f>
        <v>7500</v>
      </c>
      <c r="M47" s="10" t="n">
        <f aca="false">ROUND(J47*'Power Model'!$B$4*('Power Model'!$B$7*'Power Model'!$B$8+'Power Model'!$B$9)+E47*'Power Model'!$B$10/100,0)</f>
        <v>1685</v>
      </c>
      <c r="N47" s="10"/>
      <c r="O47" s="9" t="s">
        <v>112</v>
      </c>
      <c r="P47" s="9"/>
      <c r="Q47" s="9" t="s">
        <v>186</v>
      </c>
      <c r="R47" s="9" t="s">
        <v>174</v>
      </c>
    </row>
    <row r="48" customFormat="false" ht="15" hidden="false" customHeight="false" outlineLevel="0" collapsed="false">
      <c r="A48" s="9" t="s">
        <v>222</v>
      </c>
      <c r="B48" s="9" t="s">
        <v>223</v>
      </c>
      <c r="C48" s="9" t="s">
        <v>61</v>
      </c>
      <c r="D48" s="9" t="n">
        <v>2</v>
      </c>
      <c r="E48" s="10" t="n">
        <v>31200</v>
      </c>
      <c r="F48" s="10" t="n">
        <f aca="false">ROUND(E48*0.8,0)</f>
        <v>24960</v>
      </c>
      <c r="G48" s="9" t="n">
        <v>2</v>
      </c>
      <c r="H48" s="9" t="s">
        <v>62</v>
      </c>
      <c r="I48" s="9" t="n">
        <v>30</v>
      </c>
      <c r="J48" s="11" t="n">
        <f aca="false">'Power Model'!$B$3*2^(D48-2)</f>
        <v>1</v>
      </c>
      <c r="K48" s="10"/>
      <c r="L48" s="10" t="n">
        <f aca="false">ROUND(E48*'Power Model'!$B$11,0)</f>
        <v>7800</v>
      </c>
      <c r="M48" s="10" t="n">
        <f aca="false">ROUND(J48*'Power Model'!$B$4*('Power Model'!$B$7*'Power Model'!$B$8+'Power Model'!$B$9)+E48*'Power Model'!$B$10/100,0)</f>
        <v>1745</v>
      </c>
      <c r="N48" s="10"/>
      <c r="O48" s="9" t="s">
        <v>98</v>
      </c>
      <c r="P48" s="9"/>
      <c r="Q48" s="9" t="s">
        <v>173</v>
      </c>
      <c r="R48" s="9" t="s">
        <v>174</v>
      </c>
    </row>
    <row r="49" customFormat="false" ht="15" hidden="false" customHeight="false" outlineLevel="0" collapsed="false">
      <c r="A49" s="9" t="s">
        <v>224</v>
      </c>
      <c r="B49" s="9" t="s">
        <v>225</v>
      </c>
      <c r="C49" s="9" t="s">
        <v>61</v>
      </c>
      <c r="D49" s="9" t="n">
        <v>2</v>
      </c>
      <c r="E49" s="10" t="n">
        <v>32400</v>
      </c>
      <c r="F49" s="10" t="n">
        <f aca="false">ROUND(E49*0.8,0)</f>
        <v>25920</v>
      </c>
      <c r="G49" s="9" t="n">
        <v>3</v>
      </c>
      <c r="H49" s="9" t="s">
        <v>62</v>
      </c>
      <c r="I49" s="9" t="n">
        <v>33</v>
      </c>
      <c r="J49" s="11" t="n">
        <f aca="false">'Power Model'!$B$3*2^(D49-2)</f>
        <v>1</v>
      </c>
      <c r="K49" s="10"/>
      <c r="L49" s="10" t="n">
        <f aca="false">ROUND(E49*'Power Model'!$B$11,0)</f>
        <v>8100</v>
      </c>
      <c r="M49" s="10" t="n">
        <f aca="false">ROUND(J49*'Power Model'!$B$4*('Power Model'!$B$7*'Power Model'!$B$8+'Power Model'!$B$9)+E49*'Power Model'!$B$10/100,0)</f>
        <v>1805</v>
      </c>
      <c r="N49" s="10"/>
      <c r="O49" s="9" t="s">
        <v>118</v>
      </c>
      <c r="P49" s="9"/>
      <c r="Q49" s="9" t="s">
        <v>192</v>
      </c>
      <c r="R49" s="9" t="s">
        <v>174</v>
      </c>
    </row>
    <row r="50" customFormat="false" ht="28.35" hidden="false" customHeight="false" outlineLevel="0" collapsed="false">
      <c r="A50" s="12" t="s">
        <v>226</v>
      </c>
      <c r="B50" s="12" t="s">
        <v>227</v>
      </c>
      <c r="C50" s="12" t="s">
        <v>17</v>
      </c>
      <c r="D50" s="12" t="n">
        <v>3</v>
      </c>
      <c r="E50" s="13" t="n">
        <v>55900</v>
      </c>
      <c r="F50" s="13" t="n">
        <f aca="false">ROUND(E50*0.8,0)</f>
        <v>44720</v>
      </c>
      <c r="G50" s="12" t="n">
        <v>2</v>
      </c>
      <c r="H50" s="12" t="s">
        <v>18</v>
      </c>
      <c r="I50" s="12" t="n">
        <v>40</v>
      </c>
      <c r="J50" s="14" t="n">
        <f aca="false">'Power Model'!$B$3*2^(D50-2)</f>
        <v>2</v>
      </c>
      <c r="K50" s="13"/>
      <c r="L50" s="13" t="n">
        <f aca="false">ROUND(E50*'Power Model'!$B$11,0)</f>
        <v>13975</v>
      </c>
      <c r="M50" s="13" t="n">
        <f aca="false">ROUND(J50*'Power Model'!$B$4*('Power Model'!$B$7*'Power Model'!$B$8+'Power Model'!$B$9)+E50*'Power Model'!$B$10/100,0)</f>
        <v>3165</v>
      </c>
      <c r="N50" s="13"/>
      <c r="O50" s="12" t="s">
        <v>228</v>
      </c>
      <c r="P50" s="12" t="n">
        <v>6</v>
      </c>
      <c r="Q50" s="12" t="s">
        <v>229</v>
      </c>
      <c r="R50" s="12" t="s">
        <v>230</v>
      </c>
    </row>
    <row r="51" customFormat="false" ht="28.35" hidden="false" customHeight="false" outlineLevel="0" collapsed="false">
      <c r="A51" s="12" t="s">
        <v>231</v>
      </c>
      <c r="B51" s="12" t="s">
        <v>232</v>
      </c>
      <c r="C51" s="12" t="s">
        <v>17</v>
      </c>
      <c r="D51" s="12" t="n">
        <v>3</v>
      </c>
      <c r="E51" s="13" t="n">
        <v>58300</v>
      </c>
      <c r="F51" s="13" t="n">
        <f aca="false">ROUND(E51*0.8,0)</f>
        <v>46640</v>
      </c>
      <c r="G51" s="12" t="n">
        <v>2</v>
      </c>
      <c r="H51" s="12" t="s">
        <v>18</v>
      </c>
      <c r="I51" s="12" t="n">
        <v>44</v>
      </c>
      <c r="J51" s="14" t="n">
        <f aca="false">'Power Model'!$B$3*2^(D51-2)</f>
        <v>2</v>
      </c>
      <c r="K51" s="13"/>
      <c r="L51" s="13" t="n">
        <f aca="false">ROUND(E51*'Power Model'!$B$11,0)</f>
        <v>14575</v>
      </c>
      <c r="M51" s="13" t="n">
        <f aca="false">ROUND(J51*'Power Model'!$B$4*('Power Model'!$B$7*'Power Model'!$B$8+'Power Model'!$B$9)+E51*'Power Model'!$B$10/100,0)</f>
        <v>3285</v>
      </c>
      <c r="N51" s="13"/>
      <c r="O51" s="12" t="s">
        <v>233</v>
      </c>
      <c r="P51" s="12" t="n">
        <v>6</v>
      </c>
      <c r="Q51" s="12" t="s">
        <v>234</v>
      </c>
      <c r="R51" s="12" t="s">
        <v>230</v>
      </c>
    </row>
    <row r="52" customFormat="false" ht="28.35" hidden="false" customHeight="false" outlineLevel="0" collapsed="false">
      <c r="A52" s="12" t="s">
        <v>235</v>
      </c>
      <c r="B52" s="12" t="s">
        <v>236</v>
      </c>
      <c r="C52" s="12" t="s">
        <v>17</v>
      </c>
      <c r="D52" s="12" t="n">
        <v>3</v>
      </c>
      <c r="E52" s="13" t="n">
        <v>60700</v>
      </c>
      <c r="F52" s="13" t="n">
        <f aca="false">ROUND(E52*0.8,0)</f>
        <v>48560</v>
      </c>
      <c r="G52" s="12" t="n">
        <v>2</v>
      </c>
      <c r="H52" s="12" t="s">
        <v>18</v>
      </c>
      <c r="I52" s="12" t="n">
        <v>46</v>
      </c>
      <c r="J52" s="14" t="n">
        <f aca="false">'Power Model'!$B$3*2^(D52-2)</f>
        <v>2</v>
      </c>
      <c r="K52" s="13"/>
      <c r="L52" s="13" t="n">
        <f aca="false">ROUND(E52*'Power Model'!$B$11,0)</f>
        <v>15175</v>
      </c>
      <c r="M52" s="13" t="n">
        <f aca="false">ROUND(J52*'Power Model'!$B$4*('Power Model'!$B$7*'Power Model'!$B$8+'Power Model'!$B$9)+E52*'Power Model'!$B$10/100,0)</f>
        <v>3405</v>
      </c>
      <c r="N52" s="13"/>
      <c r="O52" s="12" t="s">
        <v>237</v>
      </c>
      <c r="P52" s="12" t="n">
        <v>6</v>
      </c>
      <c r="Q52" s="12" t="s">
        <v>238</v>
      </c>
      <c r="R52" s="12" t="s">
        <v>230</v>
      </c>
    </row>
    <row r="53" customFormat="false" ht="28.35" hidden="false" customHeight="false" outlineLevel="0" collapsed="false">
      <c r="A53" s="12" t="s">
        <v>239</v>
      </c>
      <c r="B53" s="12" t="s">
        <v>240</v>
      </c>
      <c r="C53" s="12" t="s">
        <v>17</v>
      </c>
      <c r="D53" s="12" t="n">
        <v>3</v>
      </c>
      <c r="E53" s="13" t="n">
        <v>63100</v>
      </c>
      <c r="F53" s="13" t="n">
        <f aca="false">ROUND(E53*0.8,0)</f>
        <v>50480</v>
      </c>
      <c r="G53" s="12" t="n">
        <v>2</v>
      </c>
      <c r="H53" s="12" t="s">
        <v>18</v>
      </c>
      <c r="I53" s="12" t="n">
        <v>50</v>
      </c>
      <c r="J53" s="14" t="n">
        <f aca="false">'Power Model'!$B$3*2^(D53-2)</f>
        <v>2</v>
      </c>
      <c r="K53" s="13"/>
      <c r="L53" s="13" t="n">
        <f aca="false">ROUND(E53*'Power Model'!$B$11,0)</f>
        <v>15775</v>
      </c>
      <c r="M53" s="13" t="n">
        <f aca="false">ROUND(J53*'Power Model'!$B$4*('Power Model'!$B$7*'Power Model'!$B$8+'Power Model'!$B$9)+E53*'Power Model'!$B$10/100,0)</f>
        <v>3525</v>
      </c>
      <c r="N53" s="13"/>
      <c r="O53" s="12" t="s">
        <v>241</v>
      </c>
      <c r="P53" s="12" t="n">
        <v>6</v>
      </c>
      <c r="Q53" s="12" t="s">
        <v>242</v>
      </c>
      <c r="R53" s="12" t="s">
        <v>230</v>
      </c>
    </row>
    <row r="54" customFormat="false" ht="28.35" hidden="false" customHeight="false" outlineLevel="0" collapsed="false">
      <c r="A54" s="12" t="s">
        <v>243</v>
      </c>
      <c r="B54" s="12" t="s">
        <v>244</v>
      </c>
      <c r="C54" s="12" t="s">
        <v>24</v>
      </c>
      <c r="D54" s="12" t="n">
        <v>3</v>
      </c>
      <c r="E54" s="13" t="n">
        <v>62200</v>
      </c>
      <c r="F54" s="13" t="n">
        <f aca="false">ROUND(E54*0.8,0)</f>
        <v>49760</v>
      </c>
      <c r="G54" s="12" t="n">
        <v>2</v>
      </c>
      <c r="H54" s="12" t="s">
        <v>18</v>
      </c>
      <c r="I54" s="12" t="n">
        <v>42</v>
      </c>
      <c r="J54" s="14" t="n">
        <f aca="false">'Power Model'!$B$3*2^(D54-2)</f>
        <v>2</v>
      </c>
      <c r="K54" s="13"/>
      <c r="L54" s="13" t="n">
        <f aca="false">ROUND(E54*'Power Model'!$B$11,0)</f>
        <v>15550</v>
      </c>
      <c r="M54" s="13" t="n">
        <f aca="false">ROUND(J54*'Power Model'!$B$4*('Power Model'!$B$7*'Power Model'!$B$8+'Power Model'!$B$9)+E54*'Power Model'!$B$10/100,0)</f>
        <v>3480</v>
      </c>
      <c r="N54" s="13"/>
      <c r="O54" s="12" t="s">
        <v>245</v>
      </c>
      <c r="P54" s="12"/>
      <c r="Q54" s="12" t="s">
        <v>246</v>
      </c>
      <c r="R54" s="12" t="s">
        <v>247</v>
      </c>
    </row>
    <row r="55" customFormat="false" ht="15" hidden="false" customHeight="false" outlineLevel="0" collapsed="false">
      <c r="A55" s="12" t="s">
        <v>248</v>
      </c>
      <c r="B55" s="12" t="s">
        <v>249</v>
      </c>
      <c r="C55" s="12" t="s">
        <v>24</v>
      </c>
      <c r="D55" s="12" t="n">
        <v>3</v>
      </c>
      <c r="E55" s="13" t="n">
        <v>64800</v>
      </c>
      <c r="F55" s="13" t="n">
        <f aca="false">ROUND(E55*0.8,0)</f>
        <v>51840</v>
      </c>
      <c r="G55" s="12" t="n">
        <v>2</v>
      </c>
      <c r="H55" s="12" t="s">
        <v>18</v>
      </c>
      <c r="I55" s="12" t="n">
        <v>45</v>
      </c>
      <c r="J55" s="14" t="n">
        <f aca="false">'Power Model'!$B$3*2^(D55-2)</f>
        <v>2</v>
      </c>
      <c r="K55" s="13"/>
      <c r="L55" s="13" t="n">
        <f aca="false">ROUND(E55*'Power Model'!$B$11,0)</f>
        <v>16200</v>
      </c>
      <c r="M55" s="13" t="n">
        <f aca="false">ROUND(J55*'Power Model'!$B$4*('Power Model'!$B$7*'Power Model'!$B$8+'Power Model'!$B$9)+E55*'Power Model'!$B$10/100,0)</f>
        <v>3610</v>
      </c>
      <c r="N55" s="13"/>
      <c r="O55" s="12" t="s">
        <v>233</v>
      </c>
      <c r="P55" s="12"/>
      <c r="Q55" s="12" t="s">
        <v>234</v>
      </c>
      <c r="R55" s="12" t="s">
        <v>247</v>
      </c>
    </row>
    <row r="56" customFormat="false" ht="28.35" hidden="false" customHeight="false" outlineLevel="0" collapsed="false">
      <c r="A56" s="12" t="s">
        <v>250</v>
      </c>
      <c r="B56" s="12" t="s">
        <v>251</v>
      </c>
      <c r="C56" s="12" t="s">
        <v>24</v>
      </c>
      <c r="D56" s="12" t="n">
        <v>3</v>
      </c>
      <c r="E56" s="13" t="n">
        <v>67400</v>
      </c>
      <c r="F56" s="13" t="n">
        <f aca="false">ROUND(E56*0.8,0)</f>
        <v>53920</v>
      </c>
      <c r="G56" s="12" t="n">
        <v>2</v>
      </c>
      <c r="H56" s="12" t="s">
        <v>18</v>
      </c>
      <c r="I56" s="12" t="n">
        <v>48</v>
      </c>
      <c r="J56" s="14" t="n">
        <f aca="false">'Power Model'!$B$3*2^(D56-2)</f>
        <v>2</v>
      </c>
      <c r="K56" s="13"/>
      <c r="L56" s="13" t="n">
        <f aca="false">ROUND(E56*'Power Model'!$B$11,0)</f>
        <v>16850</v>
      </c>
      <c r="M56" s="13" t="n">
        <f aca="false">ROUND(J56*'Power Model'!$B$4*('Power Model'!$B$7*'Power Model'!$B$8+'Power Model'!$B$9)+E56*'Power Model'!$B$10/100,0)</f>
        <v>3740</v>
      </c>
      <c r="N56" s="13"/>
      <c r="O56" s="12" t="s">
        <v>252</v>
      </c>
      <c r="P56" s="12"/>
      <c r="Q56" s="12" t="s">
        <v>253</v>
      </c>
      <c r="R56" s="12" t="s">
        <v>247</v>
      </c>
    </row>
    <row r="57" customFormat="false" ht="15" hidden="false" customHeight="false" outlineLevel="0" collapsed="false">
      <c r="A57" s="12" t="s">
        <v>254</v>
      </c>
      <c r="B57" s="12" t="s">
        <v>255</v>
      </c>
      <c r="C57" s="12" t="s">
        <v>33</v>
      </c>
      <c r="D57" s="12" t="n">
        <v>3</v>
      </c>
      <c r="E57" s="13" t="n">
        <v>62200</v>
      </c>
      <c r="F57" s="13" t="n">
        <f aca="false">ROUND(E57*0.8,0)</f>
        <v>49760</v>
      </c>
      <c r="G57" s="12" t="n">
        <v>3</v>
      </c>
      <c r="H57" s="12" t="s">
        <v>67</v>
      </c>
      <c r="I57" s="12" t="n">
        <v>42</v>
      </c>
      <c r="J57" s="14" t="n">
        <f aca="false">'Power Model'!$B$3*2^(D57-2)</f>
        <v>2</v>
      </c>
      <c r="K57" s="13"/>
      <c r="L57" s="13" t="n">
        <f aca="false">ROUND(E57*'Power Model'!$B$11,0)</f>
        <v>15550</v>
      </c>
      <c r="M57" s="13" t="n">
        <f aca="false">ROUND(J57*'Power Model'!$B$4*('Power Model'!$B$7*'Power Model'!$B$8+'Power Model'!$B$9)+E57*'Power Model'!$B$10/100,0)</f>
        <v>3480</v>
      </c>
      <c r="N57" s="13"/>
      <c r="O57" s="12" t="s">
        <v>256</v>
      </c>
      <c r="P57" s="12"/>
      <c r="Q57" s="12" t="s">
        <v>257</v>
      </c>
      <c r="R57" s="12" t="s">
        <v>247</v>
      </c>
    </row>
    <row r="58" customFormat="false" ht="15" hidden="false" customHeight="false" outlineLevel="0" collapsed="false">
      <c r="A58" s="12" t="s">
        <v>258</v>
      </c>
      <c r="B58" s="12" t="s">
        <v>259</v>
      </c>
      <c r="C58" s="12" t="s">
        <v>33</v>
      </c>
      <c r="D58" s="12" t="n">
        <v>3</v>
      </c>
      <c r="E58" s="13" t="n">
        <v>64800</v>
      </c>
      <c r="F58" s="13" t="n">
        <f aca="false">ROUND(E58*0.8,0)</f>
        <v>51840</v>
      </c>
      <c r="G58" s="12" t="n">
        <v>2</v>
      </c>
      <c r="H58" s="12" t="s">
        <v>67</v>
      </c>
      <c r="I58" s="12" t="n">
        <v>45</v>
      </c>
      <c r="J58" s="14" t="n">
        <f aca="false">'Power Model'!$B$3*2^(D58-2)</f>
        <v>2</v>
      </c>
      <c r="K58" s="13"/>
      <c r="L58" s="13" t="n">
        <f aca="false">ROUND(E58*'Power Model'!$B$11,0)</f>
        <v>16200</v>
      </c>
      <c r="M58" s="13" t="n">
        <f aca="false">ROUND(J58*'Power Model'!$B$4*('Power Model'!$B$7*'Power Model'!$B$8+'Power Model'!$B$9)+E58*'Power Model'!$B$10/100,0)</f>
        <v>3610</v>
      </c>
      <c r="N58" s="13"/>
      <c r="O58" s="12" t="s">
        <v>260</v>
      </c>
      <c r="P58" s="12"/>
      <c r="Q58" s="12" t="s">
        <v>261</v>
      </c>
      <c r="R58" s="12" t="s">
        <v>247</v>
      </c>
    </row>
    <row r="59" customFormat="false" ht="15" hidden="false" customHeight="false" outlineLevel="0" collapsed="false">
      <c r="A59" s="12" t="s">
        <v>262</v>
      </c>
      <c r="B59" s="12" t="s">
        <v>263</v>
      </c>
      <c r="C59" s="12" t="s">
        <v>33</v>
      </c>
      <c r="D59" s="12" t="n">
        <v>3</v>
      </c>
      <c r="E59" s="13" t="n">
        <v>67400</v>
      </c>
      <c r="F59" s="13" t="n">
        <f aca="false">ROUND(E59*0.8,0)</f>
        <v>53920</v>
      </c>
      <c r="G59" s="12" t="n">
        <v>3</v>
      </c>
      <c r="H59" s="12" t="s">
        <v>67</v>
      </c>
      <c r="I59" s="12" t="n">
        <v>48</v>
      </c>
      <c r="J59" s="14" t="n">
        <f aca="false">'Power Model'!$B$3*2^(D59-2)</f>
        <v>2</v>
      </c>
      <c r="K59" s="13"/>
      <c r="L59" s="13" t="n">
        <f aca="false">ROUND(E59*'Power Model'!$B$11,0)</f>
        <v>16850</v>
      </c>
      <c r="M59" s="13" t="n">
        <f aca="false">ROUND(J59*'Power Model'!$B$4*('Power Model'!$B$7*'Power Model'!$B$8+'Power Model'!$B$9)+E59*'Power Model'!$B$10/100,0)</f>
        <v>3740</v>
      </c>
      <c r="N59" s="13"/>
      <c r="O59" s="12" t="s">
        <v>264</v>
      </c>
      <c r="P59" s="12"/>
      <c r="Q59" s="12" t="s">
        <v>265</v>
      </c>
      <c r="R59" s="12" t="s">
        <v>247</v>
      </c>
    </row>
    <row r="60" customFormat="false" ht="28.35" hidden="false" customHeight="false" outlineLevel="0" collapsed="false">
      <c r="A60" s="12" t="s">
        <v>266</v>
      </c>
      <c r="B60" s="12" t="s">
        <v>267</v>
      </c>
      <c r="C60" s="12" t="s">
        <v>66</v>
      </c>
      <c r="D60" s="12" t="n">
        <v>3</v>
      </c>
      <c r="E60" s="13" t="n">
        <v>62200</v>
      </c>
      <c r="F60" s="13" t="n">
        <f aca="false">ROUND(E60*0.8,0)</f>
        <v>49760</v>
      </c>
      <c r="G60" s="12" t="n">
        <v>2</v>
      </c>
      <c r="H60" s="12" t="s">
        <v>67</v>
      </c>
      <c r="I60" s="12" t="n">
        <v>42</v>
      </c>
      <c r="J60" s="14" t="n">
        <f aca="false">'Power Model'!$B$3*2^(D60-2)</f>
        <v>2</v>
      </c>
      <c r="K60" s="13" t="n">
        <f aca="false">'Power Model'!$B$4*'Power Model'!$B$5*J60</f>
        <v>2688</v>
      </c>
      <c r="L60" s="13" t="n">
        <f aca="false">ROUND(E60*'Power Model'!$B$11,0)</f>
        <v>15550</v>
      </c>
      <c r="M60" s="13" t="n">
        <f aca="false">ROUND(J60*'Power Model'!$B$4*('Power Model'!$B$7*'Power Model'!$B$8+'Power Model'!$B$9)+E60*'Power Model'!$B$10/100,0)</f>
        <v>3480</v>
      </c>
      <c r="N60" s="13" t="n">
        <f aca="false">ROUND(K60*('Power Model'!$B$7*'Power Model'!$B$8+'Power Model'!$B$9),0)</f>
        <v>2957</v>
      </c>
      <c r="O60" s="12" t="s">
        <v>268</v>
      </c>
      <c r="P60" s="12"/>
      <c r="Q60" s="12" t="s">
        <v>269</v>
      </c>
      <c r="R60" s="12" t="s">
        <v>270</v>
      </c>
    </row>
    <row r="61" customFormat="false" ht="15" hidden="false" customHeight="false" outlineLevel="0" collapsed="false">
      <c r="A61" s="12" t="s">
        <v>271</v>
      </c>
      <c r="B61" s="12" t="s">
        <v>272</v>
      </c>
      <c r="C61" s="12" t="s">
        <v>66</v>
      </c>
      <c r="D61" s="12" t="n">
        <v>3</v>
      </c>
      <c r="E61" s="13" t="n">
        <v>64800</v>
      </c>
      <c r="F61" s="13" t="n">
        <f aca="false">ROUND(E61*0.8,0)</f>
        <v>51840</v>
      </c>
      <c r="G61" s="12" t="n">
        <v>3</v>
      </c>
      <c r="H61" s="12" t="s">
        <v>67</v>
      </c>
      <c r="I61" s="12" t="n">
        <v>45</v>
      </c>
      <c r="J61" s="14" t="n">
        <f aca="false">'Power Model'!$B$3*2^(D61-2)</f>
        <v>2</v>
      </c>
      <c r="K61" s="13" t="n">
        <f aca="false">'Power Model'!$B$4*'Power Model'!$B$5*J61</f>
        <v>2688</v>
      </c>
      <c r="L61" s="13" t="n">
        <f aca="false">ROUND(E61*'Power Model'!$B$11,0)</f>
        <v>16200</v>
      </c>
      <c r="M61" s="13" t="n">
        <f aca="false">ROUND(J61*'Power Model'!$B$4*('Power Model'!$B$7*'Power Model'!$B$8+'Power Model'!$B$9)+E61*'Power Model'!$B$10/100,0)</f>
        <v>3610</v>
      </c>
      <c r="N61" s="13" t="n">
        <f aca="false">ROUND(K61*('Power Model'!$B$7*'Power Model'!$B$8+'Power Model'!$B$9),0)</f>
        <v>2957</v>
      </c>
      <c r="O61" s="12" t="s">
        <v>273</v>
      </c>
      <c r="P61" s="12"/>
      <c r="Q61" s="12" t="s">
        <v>274</v>
      </c>
      <c r="R61" s="12" t="s">
        <v>270</v>
      </c>
    </row>
    <row r="62" customFormat="false" ht="28.35" hidden="false" customHeight="false" outlineLevel="0" collapsed="false">
      <c r="A62" s="12" t="s">
        <v>275</v>
      </c>
      <c r="B62" s="12" t="s">
        <v>276</v>
      </c>
      <c r="C62" s="12" t="s">
        <v>66</v>
      </c>
      <c r="D62" s="12" t="n">
        <v>3</v>
      </c>
      <c r="E62" s="13" t="n">
        <v>94600</v>
      </c>
      <c r="F62" s="13" t="n">
        <f aca="false">ROUND(E62*0.8,0)</f>
        <v>75680</v>
      </c>
      <c r="G62" s="12" t="n">
        <v>2</v>
      </c>
      <c r="H62" s="12" t="s">
        <v>67</v>
      </c>
      <c r="I62" s="12" t="n">
        <v>84</v>
      </c>
      <c r="J62" s="14" t="n">
        <f aca="false">'Power Model'!$B$3*2^(D62-2)</f>
        <v>2</v>
      </c>
      <c r="K62" s="13" t="n">
        <f aca="false">'Power Model'!$B$4*'Power Model'!$B$5*J62*'Power Model'!$B$12</f>
        <v>8064</v>
      </c>
      <c r="L62" s="13" t="n">
        <f aca="false">ROUND(E62*'Power Model'!$B$11,0)</f>
        <v>23650</v>
      </c>
      <c r="M62" s="13" t="n">
        <f aca="false">ROUND(J62*'Power Model'!$B$4*('Power Model'!$B$7*'Power Model'!$B$8+'Power Model'!$B$9)+E62*'Power Model'!$B$10/100,0)</f>
        <v>5100</v>
      </c>
      <c r="N62" s="13" t="n">
        <f aca="false">ROUND(K62*('Power Model'!$B$7*'Power Model'!$B$8+'Power Model'!$B$9),0)</f>
        <v>8870</v>
      </c>
      <c r="O62" s="12"/>
      <c r="P62" s="12"/>
      <c r="Q62" s="12" t="s">
        <v>124</v>
      </c>
      <c r="R62" s="12" t="s">
        <v>277</v>
      </c>
    </row>
    <row r="63" customFormat="false" ht="28.35" hidden="false" customHeight="false" outlineLevel="0" collapsed="false">
      <c r="A63" s="12" t="s">
        <v>278</v>
      </c>
      <c r="B63" s="12" t="s">
        <v>279</v>
      </c>
      <c r="C63" s="12" t="s">
        <v>45</v>
      </c>
      <c r="D63" s="12" t="n">
        <v>3</v>
      </c>
      <c r="E63" s="13" t="n">
        <v>51500</v>
      </c>
      <c r="F63" s="13" t="n">
        <f aca="false">ROUND(E63*0.8,0)</f>
        <v>41200</v>
      </c>
      <c r="G63" s="12" t="n">
        <v>4</v>
      </c>
      <c r="H63" s="12" t="s">
        <v>46</v>
      </c>
      <c r="I63" s="12" t="n">
        <v>62</v>
      </c>
      <c r="J63" s="14" t="n">
        <f aca="false">'Power Model'!$B$3*2^(D63-2)</f>
        <v>2</v>
      </c>
      <c r="K63" s="13"/>
      <c r="L63" s="13" t="n">
        <f aca="false">ROUND(E63*'Power Model'!$B$11,0)</f>
        <v>12875</v>
      </c>
      <c r="M63" s="13" t="n">
        <f aca="false">ROUND(J63*'Power Model'!$B$4*('Power Model'!$B$7*'Power Model'!$B$8+'Power Model'!$B$9)+E63*'Power Model'!$B$10/100,0)</f>
        <v>2945</v>
      </c>
      <c r="N63" s="13"/>
      <c r="O63" s="12" t="s">
        <v>202</v>
      </c>
      <c r="P63" s="12"/>
      <c r="Q63" s="12" t="s">
        <v>124</v>
      </c>
      <c r="R63" s="12" t="s">
        <v>280</v>
      </c>
    </row>
    <row r="64" customFormat="false" ht="28.35" hidden="false" customHeight="false" outlineLevel="0" collapsed="false">
      <c r="A64" s="12" t="s">
        <v>281</v>
      </c>
      <c r="B64" s="12" t="s">
        <v>282</v>
      </c>
      <c r="C64" s="12" t="s">
        <v>45</v>
      </c>
      <c r="D64" s="12" t="n">
        <v>3</v>
      </c>
      <c r="E64" s="13" t="n">
        <v>41000</v>
      </c>
      <c r="F64" s="13" t="n">
        <f aca="false">ROUND(E64*0.8,0)</f>
        <v>32800</v>
      </c>
      <c r="G64" s="12" t="n">
        <v>4</v>
      </c>
      <c r="H64" s="12" t="s">
        <v>46</v>
      </c>
      <c r="I64" s="12" t="n">
        <v>83</v>
      </c>
      <c r="J64" s="14" t="n">
        <f aca="false">'Power Model'!$B$3*2^(D64-2)</f>
        <v>2</v>
      </c>
      <c r="K64" s="13"/>
      <c r="L64" s="13" t="n">
        <f aca="false">ROUND(E64*'Power Model'!$B$11,0)</f>
        <v>10250</v>
      </c>
      <c r="M64" s="13" t="n">
        <f aca="false">ROUND(J64*'Power Model'!$B$4*('Power Model'!$B$7*'Power Model'!$B$8+'Power Model'!$B$9)+E64*'Power Model'!$B$10/100,0)</f>
        <v>2420</v>
      </c>
      <c r="N64" s="13"/>
      <c r="O64" s="12" t="s">
        <v>130</v>
      </c>
      <c r="P64" s="12"/>
      <c r="Q64" s="12" t="s">
        <v>124</v>
      </c>
      <c r="R64" s="12" t="s">
        <v>280</v>
      </c>
    </row>
    <row r="65" customFormat="false" ht="15" hidden="false" customHeight="false" outlineLevel="0" collapsed="false">
      <c r="A65" s="12" t="s">
        <v>283</v>
      </c>
      <c r="B65" s="12" t="s">
        <v>284</v>
      </c>
      <c r="C65" s="12" t="s">
        <v>50</v>
      </c>
      <c r="D65" s="12" t="n">
        <v>3</v>
      </c>
      <c r="E65" s="13" t="n">
        <v>62200</v>
      </c>
      <c r="F65" s="13" t="n">
        <f aca="false">ROUND(E65*0.8,0)</f>
        <v>49760</v>
      </c>
      <c r="G65" s="12" t="n">
        <v>3</v>
      </c>
      <c r="H65" s="12" t="s">
        <v>51</v>
      </c>
      <c r="I65" s="12" t="n">
        <v>42</v>
      </c>
      <c r="J65" s="14" t="n">
        <f aca="false">'Power Model'!$B$3*2^(D65-2)</f>
        <v>2</v>
      </c>
      <c r="K65" s="13"/>
      <c r="L65" s="13" t="n">
        <f aca="false">ROUND(E65*'Power Model'!$B$11,0)</f>
        <v>15550</v>
      </c>
      <c r="M65" s="13" t="n">
        <f aca="false">ROUND(J65*'Power Model'!$B$4*('Power Model'!$B$7*'Power Model'!$B$8+'Power Model'!$B$9)+E65*'Power Model'!$B$10/100,0)</f>
        <v>3480</v>
      </c>
      <c r="N65" s="13"/>
      <c r="O65" s="12" t="s">
        <v>285</v>
      </c>
      <c r="P65" s="12"/>
      <c r="Q65" s="12" t="s">
        <v>286</v>
      </c>
      <c r="R65" s="12" t="s">
        <v>247</v>
      </c>
    </row>
    <row r="66" customFormat="false" ht="15" hidden="false" customHeight="false" outlineLevel="0" collapsed="false">
      <c r="A66" s="12" t="s">
        <v>287</v>
      </c>
      <c r="B66" s="12" t="s">
        <v>288</v>
      </c>
      <c r="C66" s="12" t="s">
        <v>50</v>
      </c>
      <c r="D66" s="12" t="n">
        <v>3</v>
      </c>
      <c r="E66" s="13" t="n">
        <v>64800</v>
      </c>
      <c r="F66" s="13" t="n">
        <f aca="false">ROUND(E66*0.8,0)</f>
        <v>51840</v>
      </c>
      <c r="G66" s="12" t="n">
        <v>2</v>
      </c>
      <c r="H66" s="12" t="s">
        <v>51</v>
      </c>
      <c r="I66" s="12" t="n">
        <v>45</v>
      </c>
      <c r="J66" s="14" t="n">
        <f aca="false">'Power Model'!$B$3*2^(D66-2)</f>
        <v>2</v>
      </c>
      <c r="K66" s="13"/>
      <c r="L66" s="13" t="n">
        <f aca="false">ROUND(E66*'Power Model'!$B$11,0)</f>
        <v>16200</v>
      </c>
      <c r="M66" s="13" t="n">
        <f aca="false">ROUND(J66*'Power Model'!$B$4*('Power Model'!$B$7*'Power Model'!$B$8+'Power Model'!$B$9)+E66*'Power Model'!$B$10/100,0)</f>
        <v>3610</v>
      </c>
      <c r="N66" s="13"/>
      <c r="O66" s="12" t="s">
        <v>289</v>
      </c>
      <c r="P66" s="12"/>
      <c r="Q66" s="12" t="s">
        <v>290</v>
      </c>
      <c r="R66" s="12" t="s">
        <v>247</v>
      </c>
    </row>
    <row r="67" customFormat="false" ht="15" hidden="false" customHeight="false" outlineLevel="0" collapsed="false">
      <c r="A67" s="12" t="s">
        <v>291</v>
      </c>
      <c r="B67" s="12" t="s">
        <v>292</v>
      </c>
      <c r="C67" s="12" t="s">
        <v>50</v>
      </c>
      <c r="D67" s="12" t="n">
        <v>3</v>
      </c>
      <c r="E67" s="13" t="n">
        <v>67400</v>
      </c>
      <c r="F67" s="13" t="n">
        <f aca="false">ROUND(E67*0.8,0)</f>
        <v>53920</v>
      </c>
      <c r="G67" s="12" t="n">
        <v>3</v>
      </c>
      <c r="H67" s="12" t="s">
        <v>51</v>
      </c>
      <c r="I67" s="12" t="n">
        <v>48</v>
      </c>
      <c r="J67" s="14" t="n">
        <f aca="false">'Power Model'!$B$3*2^(D67-2)</f>
        <v>2</v>
      </c>
      <c r="K67" s="13"/>
      <c r="L67" s="13" t="n">
        <f aca="false">ROUND(E67*'Power Model'!$B$11,0)</f>
        <v>16850</v>
      </c>
      <c r="M67" s="13" t="n">
        <f aca="false">ROUND(J67*'Power Model'!$B$4*('Power Model'!$B$7*'Power Model'!$B$8+'Power Model'!$B$9)+E67*'Power Model'!$B$10/100,0)</f>
        <v>3740</v>
      </c>
      <c r="N67" s="13"/>
      <c r="O67" s="12" t="s">
        <v>273</v>
      </c>
      <c r="P67" s="12"/>
      <c r="Q67" s="12" t="s">
        <v>274</v>
      </c>
      <c r="R67" s="12" t="s">
        <v>247</v>
      </c>
    </row>
    <row r="68" customFormat="false" ht="28.35" hidden="false" customHeight="false" outlineLevel="0" collapsed="false">
      <c r="A68" s="12" t="s">
        <v>293</v>
      </c>
      <c r="B68" s="12" t="s">
        <v>294</v>
      </c>
      <c r="C68" s="12" t="s">
        <v>56</v>
      </c>
      <c r="D68" s="12" t="n">
        <v>3</v>
      </c>
      <c r="E68" s="13" t="n">
        <v>62200</v>
      </c>
      <c r="F68" s="13" t="n">
        <f aca="false">ROUND(E68*0.8,0)</f>
        <v>49760</v>
      </c>
      <c r="G68" s="12" t="n">
        <v>2</v>
      </c>
      <c r="H68" s="12" t="s">
        <v>51</v>
      </c>
      <c r="I68" s="12" t="n">
        <v>42</v>
      </c>
      <c r="J68" s="14" t="n">
        <f aca="false">'Power Model'!$B$3*2^(D68-2)</f>
        <v>2</v>
      </c>
      <c r="K68" s="13"/>
      <c r="L68" s="13" t="n">
        <f aca="false">ROUND(E68*'Power Model'!$B$11,0)</f>
        <v>15550</v>
      </c>
      <c r="M68" s="13" t="n">
        <f aca="false">ROUND(J68*'Power Model'!$B$4*('Power Model'!$B$7*'Power Model'!$B$8+'Power Model'!$B$9)+E68*'Power Model'!$B$10/100,0)</f>
        <v>3480</v>
      </c>
      <c r="N68" s="13"/>
      <c r="O68" s="12" t="s">
        <v>295</v>
      </c>
      <c r="P68" s="12"/>
      <c r="Q68" s="12" t="s">
        <v>296</v>
      </c>
      <c r="R68" s="12" t="s">
        <v>247</v>
      </c>
    </row>
    <row r="69" customFormat="false" ht="15" hidden="false" customHeight="false" outlineLevel="0" collapsed="false">
      <c r="A69" s="12" t="s">
        <v>297</v>
      </c>
      <c r="B69" s="12" t="s">
        <v>298</v>
      </c>
      <c r="C69" s="12" t="s">
        <v>56</v>
      </c>
      <c r="D69" s="12" t="n">
        <v>3</v>
      </c>
      <c r="E69" s="13" t="n">
        <v>64800</v>
      </c>
      <c r="F69" s="13" t="n">
        <f aca="false">ROUND(E69*0.8,0)</f>
        <v>51840</v>
      </c>
      <c r="G69" s="12" t="n">
        <v>3</v>
      </c>
      <c r="H69" s="12" t="s">
        <v>51</v>
      </c>
      <c r="I69" s="12" t="n">
        <v>45</v>
      </c>
      <c r="J69" s="14" t="n">
        <f aca="false">'Power Model'!$B$3*2^(D69-2)</f>
        <v>2</v>
      </c>
      <c r="K69" s="13"/>
      <c r="L69" s="13" t="n">
        <f aca="false">ROUND(E69*'Power Model'!$B$11,0)</f>
        <v>16200</v>
      </c>
      <c r="M69" s="13" t="n">
        <f aca="false">ROUND(J69*'Power Model'!$B$4*('Power Model'!$B$7*'Power Model'!$B$8+'Power Model'!$B$9)+E69*'Power Model'!$B$10/100,0)</f>
        <v>3610</v>
      </c>
      <c r="N69" s="13"/>
      <c r="O69" s="12" t="s">
        <v>299</v>
      </c>
      <c r="P69" s="12"/>
      <c r="Q69" s="12" t="s">
        <v>300</v>
      </c>
      <c r="R69" s="12" t="s">
        <v>247</v>
      </c>
    </row>
    <row r="70" customFormat="false" ht="28.35" hidden="false" customHeight="false" outlineLevel="0" collapsed="false">
      <c r="A70" s="12" t="s">
        <v>301</v>
      </c>
      <c r="B70" s="12" t="s">
        <v>302</v>
      </c>
      <c r="C70" s="12" t="s">
        <v>56</v>
      </c>
      <c r="D70" s="12" t="n">
        <v>3</v>
      </c>
      <c r="E70" s="13" t="n">
        <v>67400</v>
      </c>
      <c r="F70" s="13" t="n">
        <f aca="false">ROUND(E70*0.8,0)</f>
        <v>53920</v>
      </c>
      <c r="G70" s="12" t="n">
        <v>2</v>
      </c>
      <c r="H70" s="12" t="s">
        <v>51</v>
      </c>
      <c r="I70" s="12" t="n">
        <v>48</v>
      </c>
      <c r="J70" s="14" t="n">
        <f aca="false">'Power Model'!$B$3*2^(D70-2)</f>
        <v>2</v>
      </c>
      <c r="K70" s="13"/>
      <c r="L70" s="13" t="n">
        <f aca="false">ROUND(E70*'Power Model'!$B$11,0)</f>
        <v>16850</v>
      </c>
      <c r="M70" s="13" t="n">
        <f aca="false">ROUND(J70*'Power Model'!$B$4*('Power Model'!$B$7*'Power Model'!$B$8+'Power Model'!$B$9)+E70*'Power Model'!$B$10/100,0)</f>
        <v>3740</v>
      </c>
      <c r="N70" s="13"/>
      <c r="O70" s="12" t="s">
        <v>303</v>
      </c>
      <c r="P70" s="12"/>
      <c r="Q70" s="12" t="s">
        <v>304</v>
      </c>
      <c r="R70" s="12" t="s">
        <v>247</v>
      </c>
    </row>
    <row r="71" customFormat="false" ht="15" hidden="false" customHeight="false" outlineLevel="0" collapsed="false">
      <c r="A71" s="12" t="s">
        <v>305</v>
      </c>
      <c r="B71" s="12" t="s">
        <v>306</v>
      </c>
      <c r="C71" s="12" t="s">
        <v>61</v>
      </c>
      <c r="D71" s="12" t="n">
        <v>3</v>
      </c>
      <c r="E71" s="13" t="n">
        <v>62200</v>
      </c>
      <c r="F71" s="13" t="n">
        <f aca="false">ROUND(E71*0.8,0)</f>
        <v>49760</v>
      </c>
      <c r="G71" s="12" t="n">
        <v>3</v>
      </c>
      <c r="H71" s="12" t="s">
        <v>62</v>
      </c>
      <c r="I71" s="12" t="n">
        <v>42</v>
      </c>
      <c r="J71" s="14" t="n">
        <f aca="false">'Power Model'!$B$3*2^(D71-2)</f>
        <v>2</v>
      </c>
      <c r="K71" s="13"/>
      <c r="L71" s="13" t="n">
        <f aca="false">ROUND(E71*'Power Model'!$B$11,0)</f>
        <v>15550</v>
      </c>
      <c r="M71" s="13" t="n">
        <f aca="false">ROUND(J71*'Power Model'!$B$4*('Power Model'!$B$7*'Power Model'!$B$8+'Power Model'!$B$9)+E71*'Power Model'!$B$10/100,0)</f>
        <v>3480</v>
      </c>
      <c r="N71" s="13"/>
      <c r="O71" s="12" t="s">
        <v>264</v>
      </c>
      <c r="P71" s="12"/>
      <c r="Q71" s="12" t="s">
        <v>265</v>
      </c>
      <c r="R71" s="12" t="s">
        <v>247</v>
      </c>
    </row>
    <row r="72" customFormat="false" ht="15" hidden="false" customHeight="false" outlineLevel="0" collapsed="false">
      <c r="A72" s="12" t="s">
        <v>307</v>
      </c>
      <c r="B72" s="12" t="s">
        <v>308</v>
      </c>
      <c r="C72" s="12" t="s">
        <v>61</v>
      </c>
      <c r="D72" s="12" t="n">
        <v>3</v>
      </c>
      <c r="E72" s="13" t="n">
        <v>64800</v>
      </c>
      <c r="F72" s="13" t="n">
        <f aca="false">ROUND(E72*0.8,0)</f>
        <v>51840</v>
      </c>
      <c r="G72" s="12" t="n">
        <v>2</v>
      </c>
      <c r="H72" s="12" t="s">
        <v>62</v>
      </c>
      <c r="I72" s="12" t="n">
        <v>45</v>
      </c>
      <c r="J72" s="14" t="n">
        <f aca="false">'Power Model'!$B$3*2^(D72-2)</f>
        <v>2</v>
      </c>
      <c r="K72" s="13"/>
      <c r="L72" s="13" t="n">
        <f aca="false">ROUND(E72*'Power Model'!$B$11,0)</f>
        <v>16200</v>
      </c>
      <c r="M72" s="13" t="n">
        <f aca="false">ROUND(J72*'Power Model'!$B$4*('Power Model'!$B$7*'Power Model'!$B$8+'Power Model'!$B$9)+E72*'Power Model'!$B$10/100,0)</f>
        <v>3610</v>
      </c>
      <c r="N72" s="13"/>
      <c r="O72" s="12" t="s">
        <v>309</v>
      </c>
      <c r="P72" s="12"/>
      <c r="Q72" s="12" t="s">
        <v>310</v>
      </c>
      <c r="R72" s="12" t="s">
        <v>247</v>
      </c>
    </row>
    <row r="73" customFormat="false" ht="15" hidden="false" customHeight="false" outlineLevel="0" collapsed="false">
      <c r="A73" s="12" t="s">
        <v>311</v>
      </c>
      <c r="B73" s="12" t="s">
        <v>312</v>
      </c>
      <c r="C73" s="12" t="s">
        <v>61</v>
      </c>
      <c r="D73" s="12" t="n">
        <v>3</v>
      </c>
      <c r="E73" s="13" t="n">
        <v>67400</v>
      </c>
      <c r="F73" s="13" t="n">
        <f aca="false">ROUND(E73*0.8,0)</f>
        <v>53920</v>
      </c>
      <c r="G73" s="12" t="n">
        <v>3</v>
      </c>
      <c r="H73" s="12" t="s">
        <v>62</v>
      </c>
      <c r="I73" s="12" t="n">
        <v>48</v>
      </c>
      <c r="J73" s="14" t="n">
        <f aca="false">'Power Model'!$B$3*2^(D73-2)</f>
        <v>2</v>
      </c>
      <c r="K73" s="13"/>
      <c r="L73" s="13" t="n">
        <f aca="false">ROUND(E73*'Power Model'!$B$11,0)</f>
        <v>16850</v>
      </c>
      <c r="M73" s="13" t="n">
        <f aca="false">ROUND(J73*'Power Model'!$B$4*('Power Model'!$B$7*'Power Model'!$B$8+'Power Model'!$B$9)+E73*'Power Model'!$B$10/100,0)</f>
        <v>3740</v>
      </c>
      <c r="N73" s="13"/>
      <c r="O73" s="12" t="s">
        <v>273</v>
      </c>
      <c r="P73" s="12"/>
      <c r="Q73" s="12" t="s">
        <v>274</v>
      </c>
      <c r="R73" s="12" t="s">
        <v>247</v>
      </c>
    </row>
    <row r="74" customFormat="false" ht="28.35" hidden="false" customHeight="false" outlineLevel="0" collapsed="false">
      <c r="A74" s="15" t="s">
        <v>313</v>
      </c>
      <c r="B74" s="15" t="s">
        <v>314</v>
      </c>
      <c r="C74" s="15" t="s">
        <v>17</v>
      </c>
      <c r="D74" s="15" t="n">
        <v>4</v>
      </c>
      <c r="E74" s="16" t="n">
        <v>100100</v>
      </c>
      <c r="F74" s="16" t="n">
        <f aca="false">ROUND(E74*0.8,0)</f>
        <v>80080</v>
      </c>
      <c r="G74" s="15" t="n">
        <v>3</v>
      </c>
      <c r="H74" s="15" t="s">
        <v>18</v>
      </c>
      <c r="I74" s="15" t="n">
        <v>76</v>
      </c>
      <c r="J74" s="17" t="n">
        <f aca="false">'Power Model'!$B$3*2^(D74-2)</f>
        <v>4</v>
      </c>
      <c r="K74" s="16"/>
      <c r="L74" s="16" t="n">
        <f aca="false">ROUND(E74*'Power Model'!$B$11,0)</f>
        <v>25025</v>
      </c>
      <c r="M74" s="16" t="n">
        <f aca="false">ROUND(J74*'Power Model'!$B$4*('Power Model'!$B$7*'Power Model'!$B$8+'Power Model'!$B$9)+E74*'Power Model'!$B$10/100,0)</f>
        <v>5744</v>
      </c>
      <c r="N74" s="16"/>
      <c r="O74" s="15" t="s">
        <v>228</v>
      </c>
      <c r="P74" s="15" t="n">
        <v>8</v>
      </c>
      <c r="Q74" s="15" t="s">
        <v>315</v>
      </c>
      <c r="R74" s="15" t="s">
        <v>316</v>
      </c>
    </row>
    <row r="75" customFormat="false" ht="28.35" hidden="false" customHeight="false" outlineLevel="0" collapsed="false">
      <c r="A75" s="15" t="s">
        <v>317</v>
      </c>
      <c r="B75" s="15" t="s">
        <v>318</v>
      </c>
      <c r="C75" s="15" t="s">
        <v>17</v>
      </c>
      <c r="D75" s="15" t="n">
        <v>4</v>
      </c>
      <c r="E75" s="16" t="n">
        <v>104400</v>
      </c>
      <c r="F75" s="16" t="n">
        <f aca="false">ROUND(E75*0.8,0)</f>
        <v>83520</v>
      </c>
      <c r="G75" s="15" t="n">
        <v>3</v>
      </c>
      <c r="H75" s="15" t="s">
        <v>18</v>
      </c>
      <c r="I75" s="15" t="n">
        <v>79</v>
      </c>
      <c r="J75" s="17" t="n">
        <f aca="false">'Power Model'!$B$3*2^(D75-2)</f>
        <v>4</v>
      </c>
      <c r="K75" s="16"/>
      <c r="L75" s="16" t="n">
        <f aca="false">ROUND(E75*'Power Model'!$B$11,0)</f>
        <v>26100</v>
      </c>
      <c r="M75" s="16" t="n">
        <f aca="false">ROUND(J75*'Power Model'!$B$4*('Power Model'!$B$7*'Power Model'!$B$8+'Power Model'!$B$9)+E75*'Power Model'!$B$10/100,0)</f>
        <v>5959</v>
      </c>
      <c r="N75" s="16"/>
      <c r="O75" s="15" t="s">
        <v>233</v>
      </c>
      <c r="P75" s="15" t="n">
        <v>8</v>
      </c>
      <c r="Q75" s="15" t="s">
        <v>319</v>
      </c>
      <c r="R75" s="15" t="s">
        <v>316</v>
      </c>
    </row>
    <row r="76" customFormat="false" ht="28.35" hidden="false" customHeight="false" outlineLevel="0" collapsed="false">
      <c r="A76" s="15" t="s">
        <v>320</v>
      </c>
      <c r="B76" s="15" t="s">
        <v>321</v>
      </c>
      <c r="C76" s="15" t="s">
        <v>17</v>
      </c>
      <c r="D76" s="15" t="n">
        <v>4</v>
      </c>
      <c r="E76" s="16" t="n">
        <v>108600</v>
      </c>
      <c r="F76" s="16" t="n">
        <f aca="false">ROUND(E76*0.8,0)</f>
        <v>86880</v>
      </c>
      <c r="G76" s="15" t="n">
        <v>3</v>
      </c>
      <c r="H76" s="15" t="s">
        <v>18</v>
      </c>
      <c r="I76" s="15" t="n">
        <v>82</v>
      </c>
      <c r="J76" s="17" t="n">
        <f aca="false">'Power Model'!$B$3*2^(D76-2)</f>
        <v>4</v>
      </c>
      <c r="K76" s="16"/>
      <c r="L76" s="16" t="n">
        <f aca="false">ROUND(E76*'Power Model'!$B$11,0)</f>
        <v>27150</v>
      </c>
      <c r="M76" s="16" t="n">
        <f aca="false">ROUND(J76*'Power Model'!$B$4*('Power Model'!$B$7*'Power Model'!$B$8+'Power Model'!$B$9)+E76*'Power Model'!$B$10/100,0)</f>
        <v>6169</v>
      </c>
      <c r="N76" s="16"/>
      <c r="O76" s="15" t="s">
        <v>237</v>
      </c>
      <c r="P76" s="15" t="n">
        <v>8</v>
      </c>
      <c r="Q76" s="15" t="s">
        <v>322</v>
      </c>
      <c r="R76" s="15" t="s">
        <v>316</v>
      </c>
    </row>
    <row r="77" customFormat="false" ht="28.35" hidden="false" customHeight="false" outlineLevel="0" collapsed="false">
      <c r="A77" s="15" t="s">
        <v>323</v>
      </c>
      <c r="B77" s="15" t="s">
        <v>324</v>
      </c>
      <c r="C77" s="15" t="s">
        <v>17</v>
      </c>
      <c r="D77" s="15" t="n">
        <v>4</v>
      </c>
      <c r="E77" s="16" t="n">
        <v>112900</v>
      </c>
      <c r="F77" s="16" t="n">
        <f aca="false">ROUND(E77*0.8,0)</f>
        <v>90320</v>
      </c>
      <c r="G77" s="15" t="n">
        <v>3</v>
      </c>
      <c r="H77" s="15" t="s">
        <v>18</v>
      </c>
      <c r="I77" s="15" t="n">
        <v>85</v>
      </c>
      <c r="J77" s="17" t="n">
        <f aca="false">'Power Model'!$B$3*2^(D77-2)</f>
        <v>4</v>
      </c>
      <c r="K77" s="16"/>
      <c r="L77" s="16" t="n">
        <f aca="false">ROUND(E77*'Power Model'!$B$11,0)</f>
        <v>28225</v>
      </c>
      <c r="M77" s="16" t="n">
        <f aca="false">ROUND(J77*'Power Model'!$B$4*('Power Model'!$B$7*'Power Model'!$B$8+'Power Model'!$B$9)+E77*'Power Model'!$B$10/100,0)</f>
        <v>6384</v>
      </c>
      <c r="N77" s="16"/>
      <c r="O77" s="15" t="s">
        <v>241</v>
      </c>
      <c r="P77" s="15" t="n">
        <v>8</v>
      </c>
      <c r="Q77" s="15" t="s">
        <v>325</v>
      </c>
      <c r="R77" s="15" t="s">
        <v>316</v>
      </c>
    </row>
    <row r="78" customFormat="false" ht="15" hidden="false" customHeight="false" outlineLevel="0" collapsed="false">
      <c r="A78" s="15" t="s">
        <v>326</v>
      </c>
      <c r="B78" s="15" t="s">
        <v>327</v>
      </c>
      <c r="C78" s="15" t="s">
        <v>24</v>
      </c>
      <c r="D78" s="15" t="n">
        <v>4</v>
      </c>
      <c r="E78" s="16" t="n">
        <v>108700</v>
      </c>
      <c r="F78" s="16" t="n">
        <f aca="false">ROUND(E78*0.8,0)</f>
        <v>86960</v>
      </c>
      <c r="G78" s="15" t="n">
        <v>3</v>
      </c>
      <c r="H78" s="15" t="s">
        <v>18</v>
      </c>
      <c r="I78" s="15" t="n">
        <v>62</v>
      </c>
      <c r="J78" s="17" t="n">
        <f aca="false">'Power Model'!$B$3*2^(D78-2)</f>
        <v>4</v>
      </c>
      <c r="K78" s="16"/>
      <c r="L78" s="16" t="n">
        <f aca="false">ROUND(E78*'Power Model'!$B$11,0)</f>
        <v>27175</v>
      </c>
      <c r="M78" s="16" t="n">
        <f aca="false">ROUND(J78*'Power Model'!$B$4*('Power Model'!$B$7*'Power Model'!$B$8+'Power Model'!$B$9)+E78*'Power Model'!$B$10/100,0)</f>
        <v>6174</v>
      </c>
      <c r="N78" s="16"/>
      <c r="O78" s="15" t="s">
        <v>328</v>
      </c>
      <c r="P78" s="15"/>
      <c r="Q78" s="15" t="s">
        <v>329</v>
      </c>
      <c r="R78" s="15" t="s">
        <v>330</v>
      </c>
    </row>
    <row r="79" customFormat="false" ht="15" hidden="false" customHeight="false" outlineLevel="0" collapsed="false">
      <c r="A79" s="15" t="s">
        <v>331</v>
      </c>
      <c r="B79" s="15" t="s">
        <v>332</v>
      </c>
      <c r="C79" s="15" t="s">
        <v>24</v>
      </c>
      <c r="D79" s="15" t="n">
        <v>4</v>
      </c>
      <c r="E79" s="16" t="n">
        <v>113200</v>
      </c>
      <c r="F79" s="16" t="n">
        <f aca="false">ROUND(E79*0.8,0)</f>
        <v>90560</v>
      </c>
      <c r="G79" s="15" t="n">
        <v>3</v>
      </c>
      <c r="H79" s="15" t="s">
        <v>18</v>
      </c>
      <c r="I79" s="15" t="n">
        <v>65</v>
      </c>
      <c r="J79" s="17" t="n">
        <f aca="false">'Power Model'!$B$3*2^(D79-2)</f>
        <v>4</v>
      </c>
      <c r="K79" s="16"/>
      <c r="L79" s="16" t="n">
        <f aca="false">ROUND(E79*'Power Model'!$B$11,0)</f>
        <v>28300</v>
      </c>
      <c r="M79" s="16" t="n">
        <f aca="false">ROUND(J79*'Power Model'!$B$4*('Power Model'!$B$7*'Power Model'!$B$8+'Power Model'!$B$9)+E79*'Power Model'!$B$10/100,0)</f>
        <v>6399</v>
      </c>
      <c r="N79" s="16"/>
      <c r="O79" s="15" t="s">
        <v>333</v>
      </c>
      <c r="P79" s="15"/>
      <c r="Q79" s="15" t="s">
        <v>334</v>
      </c>
      <c r="R79" s="15" t="s">
        <v>330</v>
      </c>
    </row>
    <row r="80" customFormat="false" ht="15" hidden="false" customHeight="false" outlineLevel="0" collapsed="false">
      <c r="A80" s="15" t="s">
        <v>335</v>
      </c>
      <c r="B80" s="15" t="s">
        <v>336</v>
      </c>
      <c r="C80" s="15" t="s">
        <v>24</v>
      </c>
      <c r="D80" s="15" t="n">
        <v>4</v>
      </c>
      <c r="E80" s="16" t="n">
        <v>117700</v>
      </c>
      <c r="F80" s="16" t="n">
        <f aca="false">ROUND(E80*0.8,0)</f>
        <v>94160</v>
      </c>
      <c r="G80" s="15" t="n">
        <v>3</v>
      </c>
      <c r="H80" s="15" t="s">
        <v>18</v>
      </c>
      <c r="I80" s="15" t="n">
        <v>68</v>
      </c>
      <c r="J80" s="17" t="n">
        <f aca="false">'Power Model'!$B$3*2^(D80-2)</f>
        <v>4</v>
      </c>
      <c r="K80" s="16"/>
      <c r="L80" s="16" t="n">
        <f aca="false">ROUND(E80*'Power Model'!$B$11,0)</f>
        <v>29425</v>
      </c>
      <c r="M80" s="16" t="n">
        <f aca="false">ROUND(J80*'Power Model'!$B$4*('Power Model'!$B$7*'Power Model'!$B$8+'Power Model'!$B$9)+E80*'Power Model'!$B$10/100,0)</f>
        <v>6624</v>
      </c>
      <c r="N80" s="16"/>
      <c r="O80" s="15" t="s">
        <v>337</v>
      </c>
      <c r="P80" s="15"/>
      <c r="Q80" s="15" t="s">
        <v>338</v>
      </c>
      <c r="R80" s="15" t="s">
        <v>330</v>
      </c>
    </row>
    <row r="81" customFormat="false" ht="15" hidden="false" customHeight="false" outlineLevel="0" collapsed="false">
      <c r="A81" s="15" t="s">
        <v>339</v>
      </c>
      <c r="B81" s="15" t="s">
        <v>340</v>
      </c>
      <c r="C81" s="15" t="s">
        <v>33</v>
      </c>
      <c r="D81" s="15" t="n">
        <v>4</v>
      </c>
      <c r="E81" s="16" t="n">
        <v>108700</v>
      </c>
      <c r="F81" s="16" t="n">
        <f aca="false">ROUND(E81*0.8,0)</f>
        <v>86960</v>
      </c>
      <c r="G81" s="15" t="n">
        <v>4</v>
      </c>
      <c r="H81" s="15" t="s">
        <v>67</v>
      </c>
      <c r="I81" s="15" t="n">
        <v>62</v>
      </c>
      <c r="J81" s="17" t="n">
        <f aca="false">'Power Model'!$B$3*2^(D81-2)</f>
        <v>4</v>
      </c>
      <c r="K81" s="16"/>
      <c r="L81" s="16" t="n">
        <f aca="false">ROUND(E81*'Power Model'!$B$11,0)</f>
        <v>27175</v>
      </c>
      <c r="M81" s="16" t="n">
        <f aca="false">ROUND(J81*'Power Model'!$B$4*('Power Model'!$B$7*'Power Model'!$B$8+'Power Model'!$B$9)+E81*'Power Model'!$B$10/100,0)</f>
        <v>6174</v>
      </c>
      <c r="N81" s="16"/>
      <c r="O81" s="15" t="s">
        <v>341</v>
      </c>
      <c r="P81" s="15"/>
      <c r="Q81" s="15" t="s">
        <v>342</v>
      </c>
      <c r="R81" s="15" t="s">
        <v>330</v>
      </c>
    </row>
    <row r="82" customFormat="false" ht="15" hidden="false" customHeight="false" outlineLevel="0" collapsed="false">
      <c r="A82" s="15" t="s">
        <v>343</v>
      </c>
      <c r="B82" s="15" t="s">
        <v>344</v>
      </c>
      <c r="C82" s="15" t="s">
        <v>33</v>
      </c>
      <c r="D82" s="15" t="n">
        <v>4</v>
      </c>
      <c r="E82" s="16" t="n">
        <v>113200</v>
      </c>
      <c r="F82" s="16" t="n">
        <f aca="false">ROUND(E82*0.8,0)</f>
        <v>90560</v>
      </c>
      <c r="G82" s="15" t="n">
        <v>3</v>
      </c>
      <c r="H82" s="15" t="s">
        <v>67</v>
      </c>
      <c r="I82" s="15" t="n">
        <v>65</v>
      </c>
      <c r="J82" s="17" t="n">
        <f aca="false">'Power Model'!$B$3*2^(D82-2)</f>
        <v>4</v>
      </c>
      <c r="K82" s="16"/>
      <c r="L82" s="16" t="n">
        <f aca="false">ROUND(E82*'Power Model'!$B$11,0)</f>
        <v>28300</v>
      </c>
      <c r="M82" s="16" t="n">
        <f aca="false">ROUND(J82*'Power Model'!$B$4*('Power Model'!$B$7*'Power Model'!$B$8+'Power Model'!$B$9)+E82*'Power Model'!$B$10/100,0)</f>
        <v>6399</v>
      </c>
      <c r="N82" s="16"/>
      <c r="O82" s="15" t="s">
        <v>345</v>
      </c>
      <c r="P82" s="15"/>
      <c r="Q82" s="15" t="s">
        <v>346</v>
      </c>
      <c r="R82" s="15" t="s">
        <v>330</v>
      </c>
    </row>
    <row r="83" customFormat="false" ht="15" hidden="false" customHeight="false" outlineLevel="0" collapsed="false">
      <c r="A83" s="15" t="s">
        <v>347</v>
      </c>
      <c r="B83" s="15" t="s">
        <v>348</v>
      </c>
      <c r="C83" s="15" t="s">
        <v>33</v>
      </c>
      <c r="D83" s="15" t="n">
        <v>4</v>
      </c>
      <c r="E83" s="16" t="n">
        <v>117700</v>
      </c>
      <c r="F83" s="16" t="n">
        <f aca="false">ROUND(E83*0.8,0)</f>
        <v>94160</v>
      </c>
      <c r="G83" s="15" t="n">
        <v>4</v>
      </c>
      <c r="H83" s="15" t="s">
        <v>67</v>
      </c>
      <c r="I83" s="15" t="n">
        <v>68</v>
      </c>
      <c r="J83" s="17" t="n">
        <f aca="false">'Power Model'!$B$3*2^(D83-2)</f>
        <v>4</v>
      </c>
      <c r="K83" s="16"/>
      <c r="L83" s="16" t="n">
        <f aca="false">ROUND(E83*'Power Model'!$B$11,0)</f>
        <v>29425</v>
      </c>
      <c r="M83" s="16" t="n">
        <f aca="false">ROUND(J83*'Power Model'!$B$4*('Power Model'!$B$7*'Power Model'!$B$8+'Power Model'!$B$9)+E83*'Power Model'!$B$10/100,0)</f>
        <v>6624</v>
      </c>
      <c r="N83" s="16"/>
      <c r="O83" s="15" t="s">
        <v>349</v>
      </c>
      <c r="P83" s="15"/>
      <c r="Q83" s="15" t="s">
        <v>350</v>
      </c>
      <c r="R83" s="15" t="s">
        <v>330</v>
      </c>
    </row>
    <row r="84" customFormat="false" ht="15" hidden="false" customHeight="false" outlineLevel="0" collapsed="false">
      <c r="A84" s="15" t="s">
        <v>351</v>
      </c>
      <c r="B84" s="15" t="s">
        <v>352</v>
      </c>
      <c r="C84" s="15" t="s">
        <v>66</v>
      </c>
      <c r="D84" s="15" t="n">
        <v>4</v>
      </c>
      <c r="E84" s="16" t="n">
        <v>108700</v>
      </c>
      <c r="F84" s="16" t="n">
        <f aca="false">ROUND(E84*0.8,0)</f>
        <v>86960</v>
      </c>
      <c r="G84" s="15" t="n">
        <v>3</v>
      </c>
      <c r="H84" s="15" t="s">
        <v>67</v>
      </c>
      <c r="I84" s="15" t="n">
        <v>62</v>
      </c>
      <c r="J84" s="17" t="n">
        <f aca="false">'Power Model'!$B$3*2^(D84-2)</f>
        <v>4</v>
      </c>
      <c r="K84" s="16" t="n">
        <f aca="false">'Power Model'!$B$4*'Power Model'!$B$5*J84</f>
        <v>5376</v>
      </c>
      <c r="L84" s="16" t="n">
        <f aca="false">ROUND(E84*'Power Model'!$B$11,0)</f>
        <v>27175</v>
      </c>
      <c r="M84" s="16" t="n">
        <f aca="false">ROUND(J84*'Power Model'!$B$4*('Power Model'!$B$7*'Power Model'!$B$8+'Power Model'!$B$9)+E84*'Power Model'!$B$10/100,0)</f>
        <v>6174</v>
      </c>
      <c r="N84" s="16" t="n">
        <f aca="false">ROUND(K84*('Power Model'!$B$7*'Power Model'!$B$8+'Power Model'!$B$9),0)</f>
        <v>5914</v>
      </c>
      <c r="O84" s="15" t="s">
        <v>353</v>
      </c>
      <c r="P84" s="15"/>
      <c r="Q84" s="15" t="s">
        <v>354</v>
      </c>
      <c r="R84" s="15" t="s">
        <v>355</v>
      </c>
    </row>
    <row r="85" customFormat="false" ht="15" hidden="false" customHeight="false" outlineLevel="0" collapsed="false">
      <c r="A85" s="15" t="s">
        <v>356</v>
      </c>
      <c r="B85" s="15" t="s">
        <v>357</v>
      </c>
      <c r="C85" s="15" t="s">
        <v>66</v>
      </c>
      <c r="D85" s="15" t="n">
        <v>4</v>
      </c>
      <c r="E85" s="16" t="n">
        <v>113200</v>
      </c>
      <c r="F85" s="16" t="n">
        <f aca="false">ROUND(E85*0.8,0)</f>
        <v>90560</v>
      </c>
      <c r="G85" s="15" t="n">
        <v>4</v>
      </c>
      <c r="H85" s="15" t="s">
        <v>67</v>
      </c>
      <c r="I85" s="15" t="n">
        <v>65</v>
      </c>
      <c r="J85" s="17" t="n">
        <f aca="false">'Power Model'!$B$3*2^(D85-2)</f>
        <v>4</v>
      </c>
      <c r="K85" s="16" t="n">
        <f aca="false">'Power Model'!$B$4*'Power Model'!$B$5*J85</f>
        <v>5376</v>
      </c>
      <c r="L85" s="16" t="n">
        <f aca="false">ROUND(E85*'Power Model'!$B$11,0)</f>
        <v>28300</v>
      </c>
      <c r="M85" s="16" t="n">
        <f aca="false">ROUND(J85*'Power Model'!$B$4*('Power Model'!$B$7*'Power Model'!$B$8+'Power Model'!$B$9)+E85*'Power Model'!$B$10/100,0)</f>
        <v>6399</v>
      </c>
      <c r="N85" s="16" t="n">
        <f aca="false">ROUND(K85*('Power Model'!$B$7*'Power Model'!$B$8+'Power Model'!$B$9),0)</f>
        <v>5914</v>
      </c>
      <c r="O85" s="15" t="s">
        <v>358</v>
      </c>
      <c r="P85" s="15"/>
      <c r="Q85" s="15" t="s">
        <v>359</v>
      </c>
      <c r="R85" s="15" t="s">
        <v>355</v>
      </c>
    </row>
    <row r="86" customFormat="false" ht="28.35" hidden="false" customHeight="false" outlineLevel="0" collapsed="false">
      <c r="A86" s="15" t="s">
        <v>360</v>
      </c>
      <c r="B86" s="15" t="s">
        <v>361</v>
      </c>
      <c r="C86" s="15" t="s">
        <v>66</v>
      </c>
      <c r="D86" s="15" t="n">
        <v>4</v>
      </c>
      <c r="E86" s="16" t="n">
        <v>162200</v>
      </c>
      <c r="F86" s="16" t="n">
        <f aca="false">ROUND(E86*0.8,0)</f>
        <v>129760</v>
      </c>
      <c r="G86" s="15" t="n">
        <v>3</v>
      </c>
      <c r="H86" s="15" t="s">
        <v>67</v>
      </c>
      <c r="I86" s="15" t="n">
        <v>116</v>
      </c>
      <c r="J86" s="17" t="n">
        <f aca="false">'Power Model'!$B$3*2^(D86-2)</f>
        <v>4</v>
      </c>
      <c r="K86" s="16" t="n">
        <f aca="false">'Power Model'!$B$4*'Power Model'!$B$5*J86*'Power Model'!$B$12</f>
        <v>16128</v>
      </c>
      <c r="L86" s="16" t="n">
        <f aca="false">ROUND(E86*'Power Model'!$B$11,0)</f>
        <v>40550</v>
      </c>
      <c r="M86" s="16" t="n">
        <f aca="false">ROUND(J86*'Power Model'!$B$4*('Power Model'!$B$7*'Power Model'!$B$8+'Power Model'!$B$9)+E86*'Power Model'!$B$10/100,0)</f>
        <v>8849</v>
      </c>
      <c r="N86" s="16" t="n">
        <f aca="false">ROUND(K86*('Power Model'!$B$7*'Power Model'!$B$8+'Power Model'!$B$9),0)</f>
        <v>17741</v>
      </c>
      <c r="O86" s="15"/>
      <c r="P86" s="15"/>
      <c r="Q86" s="15" t="s">
        <v>362</v>
      </c>
      <c r="R86" s="15" t="s">
        <v>363</v>
      </c>
    </row>
    <row r="87" customFormat="false" ht="28.35" hidden="false" customHeight="false" outlineLevel="0" collapsed="false">
      <c r="A87" s="15" t="s">
        <v>364</v>
      </c>
      <c r="B87" s="15" t="s">
        <v>365</v>
      </c>
      <c r="C87" s="15" t="s">
        <v>45</v>
      </c>
      <c r="D87" s="15" t="n">
        <v>4</v>
      </c>
      <c r="E87" s="16" t="n">
        <v>100700</v>
      </c>
      <c r="F87" s="16" t="n">
        <f aca="false">ROUND(E87*0.8,0)</f>
        <v>80560</v>
      </c>
      <c r="G87" s="15" t="n">
        <v>5</v>
      </c>
      <c r="H87" s="15" t="s">
        <v>46</v>
      </c>
      <c r="I87" s="15" t="n">
        <v>79</v>
      </c>
      <c r="J87" s="17" t="n">
        <f aca="false">'Power Model'!$B$3*2^(D87-2)</f>
        <v>4</v>
      </c>
      <c r="K87" s="16"/>
      <c r="L87" s="16" t="n">
        <f aca="false">ROUND(E87*'Power Model'!$B$11,0)</f>
        <v>25175</v>
      </c>
      <c r="M87" s="16" t="n">
        <f aca="false">ROUND(J87*'Power Model'!$B$4*('Power Model'!$B$7*'Power Model'!$B$8+'Power Model'!$B$9)+E87*'Power Model'!$B$10/100,0)</f>
        <v>5774</v>
      </c>
      <c r="N87" s="16"/>
      <c r="O87" s="15" t="s">
        <v>366</v>
      </c>
      <c r="P87" s="15"/>
      <c r="Q87" s="15" t="s">
        <v>362</v>
      </c>
      <c r="R87" s="15" t="s">
        <v>367</v>
      </c>
    </row>
    <row r="88" customFormat="false" ht="28.35" hidden="false" customHeight="false" outlineLevel="0" collapsed="false">
      <c r="A88" s="15" t="s">
        <v>368</v>
      </c>
      <c r="B88" s="15" t="s">
        <v>369</v>
      </c>
      <c r="C88" s="15" t="s">
        <v>45</v>
      </c>
      <c r="D88" s="15" t="n">
        <v>4</v>
      </c>
      <c r="E88" s="16" t="n">
        <v>83400</v>
      </c>
      <c r="F88" s="16" t="n">
        <f aca="false">ROUND(E88*0.8,0)</f>
        <v>66720</v>
      </c>
      <c r="G88" s="15" t="n">
        <v>5</v>
      </c>
      <c r="H88" s="15" t="s">
        <v>46</v>
      </c>
      <c r="I88" s="15" t="n">
        <v>114</v>
      </c>
      <c r="J88" s="17" t="n">
        <f aca="false">'Power Model'!$B$3*2^(D88-2)</f>
        <v>4</v>
      </c>
      <c r="K88" s="16"/>
      <c r="L88" s="16" t="n">
        <f aca="false">ROUND(E88*'Power Model'!$B$11,0)</f>
        <v>20850</v>
      </c>
      <c r="M88" s="16" t="n">
        <f aca="false">ROUND(J88*'Power Model'!$B$4*('Power Model'!$B$7*'Power Model'!$B$8+'Power Model'!$B$9)+E88*'Power Model'!$B$10/100,0)</f>
        <v>4909</v>
      </c>
      <c r="N88" s="16"/>
      <c r="O88" s="15" t="s">
        <v>130</v>
      </c>
      <c r="P88" s="15"/>
      <c r="Q88" s="15" t="s">
        <v>362</v>
      </c>
      <c r="R88" s="15" t="s">
        <v>367</v>
      </c>
    </row>
    <row r="89" customFormat="false" ht="15" hidden="false" customHeight="false" outlineLevel="0" collapsed="false">
      <c r="A89" s="15" t="s">
        <v>370</v>
      </c>
      <c r="B89" s="15" t="s">
        <v>371</v>
      </c>
      <c r="C89" s="15" t="s">
        <v>50</v>
      </c>
      <c r="D89" s="15" t="n">
        <v>4</v>
      </c>
      <c r="E89" s="16" t="n">
        <v>108700</v>
      </c>
      <c r="F89" s="16" t="n">
        <f aca="false">ROUND(E89*0.8,0)</f>
        <v>86960</v>
      </c>
      <c r="G89" s="15" t="n">
        <v>4</v>
      </c>
      <c r="H89" s="15" t="s">
        <v>51</v>
      </c>
      <c r="I89" s="15" t="n">
        <v>62</v>
      </c>
      <c r="J89" s="17" t="n">
        <f aca="false">'Power Model'!$B$3*2^(D89-2)</f>
        <v>4</v>
      </c>
      <c r="K89" s="16"/>
      <c r="L89" s="16" t="n">
        <f aca="false">ROUND(E89*'Power Model'!$B$11,0)</f>
        <v>27175</v>
      </c>
      <c r="M89" s="16" t="n">
        <f aca="false">ROUND(J89*'Power Model'!$B$4*('Power Model'!$B$7*'Power Model'!$B$8+'Power Model'!$B$9)+E89*'Power Model'!$B$10/100,0)</f>
        <v>6174</v>
      </c>
      <c r="N89" s="16"/>
      <c r="O89" s="15" t="s">
        <v>372</v>
      </c>
      <c r="P89" s="15"/>
      <c r="Q89" s="15" t="s">
        <v>373</v>
      </c>
      <c r="R89" s="15" t="s">
        <v>330</v>
      </c>
    </row>
    <row r="90" customFormat="false" ht="15" hidden="false" customHeight="false" outlineLevel="0" collapsed="false">
      <c r="A90" s="15" t="s">
        <v>374</v>
      </c>
      <c r="B90" s="15" t="s">
        <v>375</v>
      </c>
      <c r="C90" s="15" t="s">
        <v>50</v>
      </c>
      <c r="D90" s="15" t="n">
        <v>4</v>
      </c>
      <c r="E90" s="16" t="n">
        <v>113200</v>
      </c>
      <c r="F90" s="16" t="n">
        <f aca="false">ROUND(E90*0.8,0)</f>
        <v>90560</v>
      </c>
      <c r="G90" s="15" t="n">
        <v>3</v>
      </c>
      <c r="H90" s="15" t="s">
        <v>51</v>
      </c>
      <c r="I90" s="15" t="n">
        <v>65</v>
      </c>
      <c r="J90" s="17" t="n">
        <f aca="false">'Power Model'!$B$3*2^(D90-2)</f>
        <v>4</v>
      </c>
      <c r="K90" s="16"/>
      <c r="L90" s="16" t="n">
        <f aca="false">ROUND(E90*'Power Model'!$B$11,0)</f>
        <v>28300</v>
      </c>
      <c r="M90" s="16" t="n">
        <f aca="false">ROUND(J90*'Power Model'!$B$4*('Power Model'!$B$7*'Power Model'!$B$8+'Power Model'!$B$9)+E90*'Power Model'!$B$10/100,0)</f>
        <v>6399</v>
      </c>
      <c r="N90" s="16"/>
      <c r="O90" s="15" t="s">
        <v>345</v>
      </c>
      <c r="P90" s="15"/>
      <c r="Q90" s="15" t="s">
        <v>346</v>
      </c>
      <c r="R90" s="15" t="s">
        <v>330</v>
      </c>
    </row>
    <row r="91" customFormat="false" ht="28.35" hidden="false" customHeight="false" outlineLevel="0" collapsed="false">
      <c r="A91" s="15" t="s">
        <v>376</v>
      </c>
      <c r="B91" s="15" t="s">
        <v>377</v>
      </c>
      <c r="C91" s="15" t="s">
        <v>50</v>
      </c>
      <c r="D91" s="15" t="n">
        <v>4</v>
      </c>
      <c r="E91" s="16" t="n">
        <v>117700</v>
      </c>
      <c r="F91" s="16" t="n">
        <f aca="false">ROUND(E91*0.8,0)</f>
        <v>94160</v>
      </c>
      <c r="G91" s="15" t="n">
        <v>4</v>
      </c>
      <c r="H91" s="15" t="s">
        <v>51</v>
      </c>
      <c r="I91" s="15" t="n">
        <v>68</v>
      </c>
      <c r="J91" s="17" t="n">
        <f aca="false">'Power Model'!$B$3*2^(D91-2)</f>
        <v>4</v>
      </c>
      <c r="K91" s="16"/>
      <c r="L91" s="16" t="n">
        <f aca="false">ROUND(E91*'Power Model'!$B$11,0)</f>
        <v>29425</v>
      </c>
      <c r="M91" s="16" t="n">
        <f aca="false">ROUND(J91*'Power Model'!$B$4*('Power Model'!$B$7*'Power Model'!$B$8+'Power Model'!$B$9)+E91*'Power Model'!$B$10/100,0)</f>
        <v>6624</v>
      </c>
      <c r="N91" s="16"/>
      <c r="O91" s="15" t="s">
        <v>378</v>
      </c>
      <c r="P91" s="15"/>
      <c r="Q91" s="15" t="s">
        <v>379</v>
      </c>
      <c r="R91" s="15" t="s">
        <v>330</v>
      </c>
    </row>
    <row r="92" customFormat="false" ht="15" hidden="false" customHeight="false" outlineLevel="0" collapsed="false">
      <c r="A92" s="15" t="s">
        <v>380</v>
      </c>
      <c r="B92" s="15" t="s">
        <v>381</v>
      </c>
      <c r="C92" s="15" t="s">
        <v>56</v>
      </c>
      <c r="D92" s="15" t="n">
        <v>4</v>
      </c>
      <c r="E92" s="16" t="n">
        <v>108700</v>
      </c>
      <c r="F92" s="16" t="n">
        <f aca="false">ROUND(E92*0.8,0)</f>
        <v>86960</v>
      </c>
      <c r="G92" s="15" t="n">
        <v>3</v>
      </c>
      <c r="H92" s="15" t="s">
        <v>51</v>
      </c>
      <c r="I92" s="15" t="n">
        <v>62</v>
      </c>
      <c r="J92" s="17" t="n">
        <f aca="false">'Power Model'!$B$3*2^(D92-2)</f>
        <v>4</v>
      </c>
      <c r="K92" s="16"/>
      <c r="L92" s="16" t="n">
        <f aca="false">ROUND(E92*'Power Model'!$B$11,0)</f>
        <v>27175</v>
      </c>
      <c r="M92" s="16" t="n">
        <f aca="false">ROUND(J92*'Power Model'!$B$4*('Power Model'!$B$7*'Power Model'!$B$8+'Power Model'!$B$9)+E92*'Power Model'!$B$10/100,0)</f>
        <v>6174</v>
      </c>
      <c r="N92" s="16"/>
      <c r="O92" s="15" t="s">
        <v>337</v>
      </c>
      <c r="P92" s="15"/>
      <c r="Q92" s="15" t="s">
        <v>338</v>
      </c>
      <c r="R92" s="15" t="s">
        <v>330</v>
      </c>
    </row>
    <row r="93" customFormat="false" ht="28.35" hidden="false" customHeight="false" outlineLevel="0" collapsed="false">
      <c r="A93" s="15" t="s">
        <v>382</v>
      </c>
      <c r="B93" s="15" t="s">
        <v>383</v>
      </c>
      <c r="C93" s="15" t="s">
        <v>56</v>
      </c>
      <c r="D93" s="15" t="n">
        <v>4</v>
      </c>
      <c r="E93" s="16" t="n">
        <v>113200</v>
      </c>
      <c r="F93" s="16" t="n">
        <f aca="false">ROUND(E93*0.8,0)</f>
        <v>90560</v>
      </c>
      <c r="G93" s="15" t="n">
        <v>4</v>
      </c>
      <c r="H93" s="15" t="s">
        <v>51</v>
      </c>
      <c r="I93" s="15" t="n">
        <v>65</v>
      </c>
      <c r="J93" s="17" t="n">
        <f aca="false">'Power Model'!$B$3*2^(D93-2)</f>
        <v>4</v>
      </c>
      <c r="K93" s="16"/>
      <c r="L93" s="16" t="n">
        <f aca="false">ROUND(E93*'Power Model'!$B$11,0)</f>
        <v>28300</v>
      </c>
      <c r="M93" s="16" t="n">
        <f aca="false">ROUND(J93*'Power Model'!$B$4*('Power Model'!$B$7*'Power Model'!$B$8+'Power Model'!$B$9)+E93*'Power Model'!$B$10/100,0)</f>
        <v>6399</v>
      </c>
      <c r="N93" s="16"/>
      <c r="O93" s="15" t="s">
        <v>384</v>
      </c>
      <c r="P93" s="15"/>
      <c r="Q93" s="15" t="s">
        <v>385</v>
      </c>
      <c r="R93" s="15" t="s">
        <v>330</v>
      </c>
    </row>
    <row r="94" customFormat="false" ht="15" hidden="false" customHeight="false" outlineLevel="0" collapsed="false">
      <c r="A94" s="15" t="s">
        <v>386</v>
      </c>
      <c r="B94" s="15" t="s">
        <v>387</v>
      </c>
      <c r="C94" s="15" t="s">
        <v>56</v>
      </c>
      <c r="D94" s="15" t="n">
        <v>4</v>
      </c>
      <c r="E94" s="16" t="n">
        <v>117700</v>
      </c>
      <c r="F94" s="16" t="n">
        <f aca="false">ROUND(E94*0.8,0)</f>
        <v>94160</v>
      </c>
      <c r="G94" s="15" t="n">
        <v>3</v>
      </c>
      <c r="H94" s="15" t="s">
        <v>51</v>
      </c>
      <c r="I94" s="15" t="n">
        <v>68</v>
      </c>
      <c r="J94" s="17" t="n">
        <f aca="false">'Power Model'!$B$3*2^(D94-2)</f>
        <v>4</v>
      </c>
      <c r="K94" s="16"/>
      <c r="L94" s="16" t="n">
        <f aca="false">ROUND(E94*'Power Model'!$B$11,0)</f>
        <v>29425</v>
      </c>
      <c r="M94" s="16" t="n">
        <f aca="false">ROUND(J94*'Power Model'!$B$4*('Power Model'!$B$7*'Power Model'!$B$8+'Power Model'!$B$9)+E94*'Power Model'!$B$10/100,0)</f>
        <v>6624</v>
      </c>
      <c r="N94" s="16"/>
      <c r="O94" s="15" t="s">
        <v>388</v>
      </c>
      <c r="P94" s="15"/>
      <c r="Q94" s="15" t="s">
        <v>389</v>
      </c>
      <c r="R94" s="15" t="s">
        <v>330</v>
      </c>
    </row>
    <row r="95" customFormat="false" ht="15" hidden="false" customHeight="false" outlineLevel="0" collapsed="false">
      <c r="A95" s="15" t="s">
        <v>390</v>
      </c>
      <c r="B95" s="15" t="s">
        <v>391</v>
      </c>
      <c r="C95" s="15" t="s">
        <v>61</v>
      </c>
      <c r="D95" s="15" t="n">
        <v>4</v>
      </c>
      <c r="E95" s="16" t="n">
        <v>108700</v>
      </c>
      <c r="F95" s="16" t="n">
        <f aca="false">ROUND(E95*0.8,0)</f>
        <v>86960</v>
      </c>
      <c r="G95" s="15" t="n">
        <v>4</v>
      </c>
      <c r="H95" s="15" t="s">
        <v>62</v>
      </c>
      <c r="I95" s="15" t="n">
        <v>62</v>
      </c>
      <c r="J95" s="17" t="n">
        <f aca="false">'Power Model'!$B$3*2^(D95-2)</f>
        <v>4</v>
      </c>
      <c r="K95" s="16"/>
      <c r="L95" s="16" t="n">
        <f aca="false">ROUND(E95*'Power Model'!$B$11,0)</f>
        <v>27175</v>
      </c>
      <c r="M95" s="16" t="n">
        <f aca="false">ROUND(J95*'Power Model'!$B$4*('Power Model'!$B$7*'Power Model'!$B$8+'Power Model'!$B$9)+E95*'Power Model'!$B$10/100,0)</f>
        <v>6174</v>
      </c>
      <c r="N95" s="16"/>
      <c r="O95" s="15" t="s">
        <v>392</v>
      </c>
      <c r="P95" s="15"/>
      <c r="Q95" s="15" t="s">
        <v>393</v>
      </c>
      <c r="R95" s="15" t="s">
        <v>330</v>
      </c>
    </row>
    <row r="96" customFormat="false" ht="15" hidden="false" customHeight="false" outlineLevel="0" collapsed="false">
      <c r="A96" s="15" t="s">
        <v>394</v>
      </c>
      <c r="B96" s="15" t="s">
        <v>395</v>
      </c>
      <c r="C96" s="15" t="s">
        <v>61</v>
      </c>
      <c r="D96" s="15" t="n">
        <v>4</v>
      </c>
      <c r="E96" s="16" t="n">
        <v>113200</v>
      </c>
      <c r="F96" s="16" t="n">
        <f aca="false">ROUND(E96*0.8,0)</f>
        <v>90560</v>
      </c>
      <c r="G96" s="15" t="n">
        <v>3</v>
      </c>
      <c r="H96" s="15" t="s">
        <v>62</v>
      </c>
      <c r="I96" s="15" t="n">
        <v>65</v>
      </c>
      <c r="J96" s="17" t="n">
        <f aca="false">'Power Model'!$B$3*2^(D96-2)</f>
        <v>4</v>
      </c>
      <c r="K96" s="16"/>
      <c r="L96" s="16" t="n">
        <f aca="false">ROUND(E96*'Power Model'!$B$11,0)</f>
        <v>28300</v>
      </c>
      <c r="M96" s="16" t="n">
        <f aca="false">ROUND(J96*'Power Model'!$B$4*('Power Model'!$B$7*'Power Model'!$B$8+'Power Model'!$B$9)+E96*'Power Model'!$B$10/100,0)</f>
        <v>6399</v>
      </c>
      <c r="N96" s="16"/>
      <c r="O96" s="15" t="s">
        <v>328</v>
      </c>
      <c r="P96" s="15"/>
      <c r="Q96" s="15" t="s">
        <v>329</v>
      </c>
      <c r="R96" s="15" t="s">
        <v>330</v>
      </c>
    </row>
    <row r="97" customFormat="false" ht="15" hidden="false" customHeight="false" outlineLevel="0" collapsed="false">
      <c r="A97" s="15" t="s">
        <v>396</v>
      </c>
      <c r="B97" s="15" t="s">
        <v>397</v>
      </c>
      <c r="C97" s="15" t="s">
        <v>61</v>
      </c>
      <c r="D97" s="15" t="n">
        <v>4</v>
      </c>
      <c r="E97" s="16" t="n">
        <v>117700</v>
      </c>
      <c r="F97" s="16" t="n">
        <f aca="false">ROUND(E97*0.8,0)</f>
        <v>94160</v>
      </c>
      <c r="G97" s="15" t="n">
        <v>4</v>
      </c>
      <c r="H97" s="15" t="s">
        <v>62</v>
      </c>
      <c r="I97" s="15" t="n">
        <v>68</v>
      </c>
      <c r="J97" s="17" t="n">
        <f aca="false">'Power Model'!$B$3*2^(D97-2)</f>
        <v>4</v>
      </c>
      <c r="K97" s="16"/>
      <c r="L97" s="16" t="n">
        <f aca="false">ROUND(E97*'Power Model'!$B$11,0)</f>
        <v>29425</v>
      </c>
      <c r="M97" s="16" t="n">
        <f aca="false">ROUND(J97*'Power Model'!$B$4*('Power Model'!$B$7*'Power Model'!$B$8+'Power Model'!$B$9)+E97*'Power Model'!$B$10/100,0)</f>
        <v>6624</v>
      </c>
      <c r="N97" s="16"/>
      <c r="O97" s="15" t="s">
        <v>398</v>
      </c>
      <c r="P97" s="15"/>
      <c r="Q97" s="15" t="s">
        <v>399</v>
      </c>
      <c r="R97" s="15" t="s">
        <v>330</v>
      </c>
    </row>
    <row r="98" customFormat="false" ht="41.75" hidden="false" customHeight="false" outlineLevel="0" collapsed="false">
      <c r="A98" s="18" t="s">
        <v>400</v>
      </c>
      <c r="B98" s="18" t="s">
        <v>401</v>
      </c>
      <c r="C98" s="18" t="s">
        <v>17</v>
      </c>
      <c r="D98" s="18" t="n">
        <v>5</v>
      </c>
      <c r="E98" s="19" t="n">
        <v>236900</v>
      </c>
      <c r="F98" s="19" t="n">
        <f aca="false">ROUND(E98*0.8,0)</f>
        <v>189520</v>
      </c>
      <c r="G98" s="18" t="n">
        <v>4</v>
      </c>
      <c r="H98" s="18" t="s">
        <v>18</v>
      </c>
      <c r="I98" s="18" t="n">
        <v>104</v>
      </c>
      <c r="J98" s="20" t="n">
        <f aca="false">'Power Model'!$B$3*2^(D98-2)</f>
        <v>8</v>
      </c>
      <c r="K98" s="19"/>
      <c r="L98" s="19" t="n">
        <f aca="false">ROUND(E98*'Power Model'!$B$11,0)</f>
        <v>59225</v>
      </c>
      <c r="M98" s="19" t="n">
        <f aca="false">ROUND(J98*'Power Model'!$B$4*('Power Model'!$B$7*'Power Model'!$B$8+'Power Model'!$B$9)+E98*'Power Model'!$B$10/100,0)</f>
        <v>13323</v>
      </c>
      <c r="N98" s="19"/>
      <c r="O98" s="18" t="s">
        <v>402</v>
      </c>
      <c r="P98" s="18" t="n">
        <v>10</v>
      </c>
      <c r="Q98" s="18" t="s">
        <v>403</v>
      </c>
      <c r="R98" s="18" t="s">
        <v>404</v>
      </c>
    </row>
    <row r="99" customFormat="false" ht="41.75" hidden="false" customHeight="false" outlineLevel="0" collapsed="false">
      <c r="A99" s="18" t="s">
        <v>405</v>
      </c>
      <c r="B99" s="18" t="s">
        <v>406</v>
      </c>
      <c r="C99" s="18" t="s">
        <v>17</v>
      </c>
      <c r="D99" s="18" t="n">
        <v>5</v>
      </c>
      <c r="E99" s="19" t="n">
        <v>247000</v>
      </c>
      <c r="F99" s="19" t="n">
        <f aca="false">ROUND(E99*0.8,0)</f>
        <v>197600</v>
      </c>
      <c r="G99" s="18" t="n">
        <v>4</v>
      </c>
      <c r="H99" s="18" t="s">
        <v>18</v>
      </c>
      <c r="I99" s="18" t="n">
        <v>106</v>
      </c>
      <c r="J99" s="20" t="n">
        <f aca="false">'Power Model'!$B$3*2^(D99-2)</f>
        <v>8</v>
      </c>
      <c r="K99" s="19"/>
      <c r="L99" s="19" t="n">
        <f aca="false">ROUND(E99*'Power Model'!$B$11,0)</f>
        <v>61750</v>
      </c>
      <c r="M99" s="19" t="n">
        <f aca="false">ROUND(J99*'Power Model'!$B$4*('Power Model'!$B$7*'Power Model'!$B$8+'Power Model'!$B$9)+E99*'Power Model'!$B$10/100,0)</f>
        <v>13828</v>
      </c>
      <c r="N99" s="19"/>
      <c r="O99" s="18" t="s">
        <v>407</v>
      </c>
      <c r="P99" s="18" t="n">
        <v>10</v>
      </c>
      <c r="Q99" s="18" t="s">
        <v>408</v>
      </c>
      <c r="R99" s="18" t="s">
        <v>404</v>
      </c>
    </row>
    <row r="100" customFormat="false" ht="41.75" hidden="false" customHeight="false" outlineLevel="0" collapsed="false">
      <c r="A100" s="18" t="s">
        <v>409</v>
      </c>
      <c r="B100" s="18" t="s">
        <v>410</v>
      </c>
      <c r="C100" s="18" t="s">
        <v>17</v>
      </c>
      <c r="D100" s="18" t="n">
        <v>5</v>
      </c>
      <c r="E100" s="19" t="n">
        <v>257000</v>
      </c>
      <c r="F100" s="19" t="n">
        <f aca="false">ROUND(E100*0.8,0)</f>
        <v>205600</v>
      </c>
      <c r="G100" s="18" t="n">
        <v>4</v>
      </c>
      <c r="H100" s="18" t="s">
        <v>18</v>
      </c>
      <c r="I100" s="18" t="n">
        <v>110</v>
      </c>
      <c r="J100" s="20" t="n">
        <f aca="false">'Power Model'!$B$3*2^(D100-2)</f>
        <v>8</v>
      </c>
      <c r="K100" s="19"/>
      <c r="L100" s="19" t="n">
        <f aca="false">ROUND(E100*'Power Model'!$B$11,0)</f>
        <v>64250</v>
      </c>
      <c r="M100" s="19" t="n">
        <f aca="false">ROUND(J100*'Power Model'!$B$4*('Power Model'!$B$7*'Power Model'!$B$8+'Power Model'!$B$9)+E100*'Power Model'!$B$10/100,0)</f>
        <v>14328</v>
      </c>
      <c r="N100" s="19"/>
      <c r="O100" s="18" t="s">
        <v>411</v>
      </c>
      <c r="P100" s="18" t="n">
        <v>10</v>
      </c>
      <c r="Q100" s="18" t="s">
        <v>412</v>
      </c>
      <c r="R100" s="18" t="s">
        <v>404</v>
      </c>
    </row>
    <row r="101" customFormat="false" ht="41.75" hidden="false" customHeight="false" outlineLevel="0" collapsed="false">
      <c r="A101" s="18" t="s">
        <v>413</v>
      </c>
      <c r="B101" s="18" t="s">
        <v>414</v>
      </c>
      <c r="C101" s="18" t="s">
        <v>17</v>
      </c>
      <c r="D101" s="18" t="n">
        <v>5</v>
      </c>
      <c r="E101" s="19" t="n">
        <v>267100</v>
      </c>
      <c r="F101" s="19" t="n">
        <f aca="false">ROUND(E101*0.8,0)</f>
        <v>213680</v>
      </c>
      <c r="G101" s="18" t="n">
        <v>4</v>
      </c>
      <c r="H101" s="18" t="s">
        <v>18</v>
      </c>
      <c r="I101" s="18" t="n">
        <v>112</v>
      </c>
      <c r="J101" s="20" t="n">
        <f aca="false">'Power Model'!$B$3*2^(D101-2)</f>
        <v>8</v>
      </c>
      <c r="K101" s="19"/>
      <c r="L101" s="19" t="n">
        <f aca="false">ROUND(E101*'Power Model'!$B$11,0)</f>
        <v>66775</v>
      </c>
      <c r="M101" s="19" t="n">
        <f aca="false">ROUND(J101*'Power Model'!$B$4*('Power Model'!$B$7*'Power Model'!$B$8+'Power Model'!$B$9)+E101*'Power Model'!$B$10/100,0)</f>
        <v>14833</v>
      </c>
      <c r="N101" s="19"/>
      <c r="O101" s="18" t="s">
        <v>415</v>
      </c>
      <c r="P101" s="18" t="n">
        <v>10</v>
      </c>
      <c r="Q101" s="18" t="s">
        <v>416</v>
      </c>
      <c r="R101" s="18" t="s">
        <v>404</v>
      </c>
    </row>
    <row r="102" customFormat="false" ht="41.75" hidden="false" customHeight="false" outlineLevel="0" collapsed="false">
      <c r="A102" s="18" t="s">
        <v>417</v>
      </c>
      <c r="B102" s="18" t="s">
        <v>418</v>
      </c>
      <c r="C102" s="18" t="s">
        <v>24</v>
      </c>
      <c r="D102" s="18" t="n">
        <v>5</v>
      </c>
      <c r="E102" s="19" t="n">
        <v>248600</v>
      </c>
      <c r="F102" s="19" t="n">
        <f aca="false">ROUND(E102*0.8,0)</f>
        <v>198880</v>
      </c>
      <c r="G102" s="18" t="n">
        <v>4</v>
      </c>
      <c r="H102" s="18" t="s">
        <v>18</v>
      </c>
      <c r="I102" s="18" t="n">
        <v>77</v>
      </c>
      <c r="J102" s="20" t="n">
        <f aca="false">'Power Model'!$B$3*2^(D102-2)</f>
        <v>8</v>
      </c>
      <c r="K102" s="19"/>
      <c r="L102" s="19" t="n">
        <f aca="false">ROUND(E102*'Power Model'!$B$11,0)</f>
        <v>62150</v>
      </c>
      <c r="M102" s="19" t="n">
        <f aca="false">ROUND(J102*'Power Model'!$B$4*('Power Model'!$B$7*'Power Model'!$B$8+'Power Model'!$B$9)+E102*'Power Model'!$B$10/100,0)</f>
        <v>13908</v>
      </c>
      <c r="N102" s="19"/>
      <c r="O102" s="18" t="s">
        <v>419</v>
      </c>
      <c r="P102" s="18"/>
      <c r="Q102" s="18" t="s">
        <v>420</v>
      </c>
      <c r="R102" s="18" t="s">
        <v>421</v>
      </c>
    </row>
    <row r="103" customFormat="false" ht="41.75" hidden="false" customHeight="false" outlineLevel="0" collapsed="false">
      <c r="A103" s="18" t="s">
        <v>422</v>
      </c>
      <c r="B103" s="18" t="s">
        <v>423</v>
      </c>
      <c r="C103" s="18" t="s">
        <v>24</v>
      </c>
      <c r="D103" s="18" t="n">
        <v>5</v>
      </c>
      <c r="E103" s="19" t="n">
        <v>259000</v>
      </c>
      <c r="F103" s="19" t="n">
        <f aca="false">ROUND(E103*0.8,0)</f>
        <v>207200</v>
      </c>
      <c r="G103" s="18" t="n">
        <v>4</v>
      </c>
      <c r="H103" s="18" t="s">
        <v>18</v>
      </c>
      <c r="I103" s="18" t="n">
        <v>80</v>
      </c>
      <c r="J103" s="20" t="n">
        <f aca="false">'Power Model'!$B$3*2^(D103-2)</f>
        <v>8</v>
      </c>
      <c r="K103" s="19"/>
      <c r="L103" s="19" t="n">
        <f aca="false">ROUND(E103*'Power Model'!$B$11,0)</f>
        <v>64750</v>
      </c>
      <c r="M103" s="19" t="n">
        <f aca="false">ROUND(J103*'Power Model'!$B$4*('Power Model'!$B$7*'Power Model'!$B$8+'Power Model'!$B$9)+E103*'Power Model'!$B$10/100,0)</f>
        <v>14428</v>
      </c>
      <c r="N103" s="19"/>
      <c r="O103" s="18" t="s">
        <v>424</v>
      </c>
      <c r="P103" s="18"/>
      <c r="Q103" s="18" t="s">
        <v>425</v>
      </c>
      <c r="R103" s="18" t="s">
        <v>421</v>
      </c>
    </row>
    <row r="104" customFormat="false" ht="41.75" hidden="false" customHeight="false" outlineLevel="0" collapsed="false">
      <c r="A104" s="18" t="s">
        <v>426</v>
      </c>
      <c r="B104" s="18" t="s">
        <v>427</v>
      </c>
      <c r="C104" s="18" t="s">
        <v>24</v>
      </c>
      <c r="D104" s="18" t="n">
        <v>5</v>
      </c>
      <c r="E104" s="19" t="n">
        <v>269400</v>
      </c>
      <c r="F104" s="19" t="n">
        <f aca="false">ROUND(E104*0.8,0)</f>
        <v>215520</v>
      </c>
      <c r="G104" s="18" t="n">
        <v>4</v>
      </c>
      <c r="H104" s="18" t="s">
        <v>18</v>
      </c>
      <c r="I104" s="18" t="n">
        <v>83</v>
      </c>
      <c r="J104" s="20" t="n">
        <f aca="false">'Power Model'!$B$3*2^(D104-2)</f>
        <v>8</v>
      </c>
      <c r="K104" s="19"/>
      <c r="L104" s="19" t="n">
        <f aca="false">ROUND(E104*'Power Model'!$B$11,0)</f>
        <v>67350</v>
      </c>
      <c r="M104" s="19" t="n">
        <f aca="false">ROUND(J104*'Power Model'!$B$4*('Power Model'!$B$7*'Power Model'!$B$8+'Power Model'!$B$9)+E104*'Power Model'!$B$10/100,0)</f>
        <v>14948</v>
      </c>
      <c r="N104" s="19"/>
      <c r="O104" s="18" t="s">
        <v>428</v>
      </c>
      <c r="P104" s="18"/>
      <c r="Q104" s="18" t="s">
        <v>429</v>
      </c>
      <c r="R104" s="18" t="s">
        <v>421</v>
      </c>
    </row>
    <row r="105" customFormat="false" ht="41.75" hidden="false" customHeight="false" outlineLevel="0" collapsed="false">
      <c r="A105" s="18" t="s">
        <v>430</v>
      </c>
      <c r="B105" s="18" t="s">
        <v>431</v>
      </c>
      <c r="C105" s="18" t="s">
        <v>33</v>
      </c>
      <c r="D105" s="18" t="n">
        <v>5</v>
      </c>
      <c r="E105" s="19" t="n">
        <v>248600</v>
      </c>
      <c r="F105" s="19" t="n">
        <f aca="false">ROUND(E105*0.8,0)</f>
        <v>198880</v>
      </c>
      <c r="G105" s="18" t="n">
        <v>5</v>
      </c>
      <c r="H105" s="18" t="s">
        <v>67</v>
      </c>
      <c r="I105" s="18" t="n">
        <v>77</v>
      </c>
      <c r="J105" s="20" t="n">
        <f aca="false">'Power Model'!$B$3*2^(D105-2)</f>
        <v>8</v>
      </c>
      <c r="K105" s="19"/>
      <c r="L105" s="19" t="n">
        <f aca="false">ROUND(E105*'Power Model'!$B$11,0)</f>
        <v>62150</v>
      </c>
      <c r="M105" s="19" t="n">
        <f aca="false">ROUND(J105*'Power Model'!$B$4*('Power Model'!$B$7*'Power Model'!$B$8+'Power Model'!$B$9)+E105*'Power Model'!$B$10/100,0)</f>
        <v>13908</v>
      </c>
      <c r="N105" s="19"/>
      <c r="O105" s="18" t="s">
        <v>432</v>
      </c>
      <c r="P105" s="18"/>
      <c r="Q105" s="18" t="s">
        <v>433</v>
      </c>
      <c r="R105" s="18" t="s">
        <v>421</v>
      </c>
    </row>
    <row r="106" customFormat="false" ht="41.75" hidden="false" customHeight="false" outlineLevel="0" collapsed="false">
      <c r="A106" s="18" t="s">
        <v>434</v>
      </c>
      <c r="B106" s="18" t="s">
        <v>435</v>
      </c>
      <c r="C106" s="18" t="s">
        <v>33</v>
      </c>
      <c r="D106" s="18" t="n">
        <v>5</v>
      </c>
      <c r="E106" s="19" t="n">
        <v>259000</v>
      </c>
      <c r="F106" s="19" t="n">
        <f aca="false">ROUND(E106*0.8,0)</f>
        <v>207200</v>
      </c>
      <c r="G106" s="18" t="n">
        <v>4</v>
      </c>
      <c r="H106" s="18" t="s">
        <v>67</v>
      </c>
      <c r="I106" s="18" t="n">
        <v>80</v>
      </c>
      <c r="J106" s="20" t="n">
        <f aca="false">'Power Model'!$B$3*2^(D106-2)</f>
        <v>8</v>
      </c>
      <c r="K106" s="19"/>
      <c r="L106" s="19" t="n">
        <f aca="false">ROUND(E106*'Power Model'!$B$11,0)</f>
        <v>64750</v>
      </c>
      <c r="M106" s="19" t="n">
        <f aca="false">ROUND(J106*'Power Model'!$B$4*('Power Model'!$B$7*'Power Model'!$B$8+'Power Model'!$B$9)+E106*'Power Model'!$B$10/100,0)</f>
        <v>14428</v>
      </c>
      <c r="N106" s="19"/>
      <c r="O106" s="18" t="s">
        <v>436</v>
      </c>
      <c r="P106" s="18"/>
      <c r="Q106" s="18" t="s">
        <v>437</v>
      </c>
      <c r="R106" s="18" t="s">
        <v>421</v>
      </c>
    </row>
    <row r="107" customFormat="false" ht="41.75" hidden="false" customHeight="false" outlineLevel="0" collapsed="false">
      <c r="A107" s="18" t="s">
        <v>438</v>
      </c>
      <c r="B107" s="18" t="s">
        <v>439</v>
      </c>
      <c r="C107" s="18" t="s">
        <v>33</v>
      </c>
      <c r="D107" s="18" t="n">
        <v>5</v>
      </c>
      <c r="E107" s="19" t="n">
        <v>269400</v>
      </c>
      <c r="F107" s="19" t="n">
        <f aca="false">ROUND(E107*0.8,0)</f>
        <v>215520</v>
      </c>
      <c r="G107" s="18" t="n">
        <v>5</v>
      </c>
      <c r="H107" s="18" t="s">
        <v>67</v>
      </c>
      <c r="I107" s="18" t="n">
        <v>83</v>
      </c>
      <c r="J107" s="20" t="n">
        <f aca="false">'Power Model'!$B$3*2^(D107-2)</f>
        <v>8</v>
      </c>
      <c r="K107" s="19"/>
      <c r="L107" s="19" t="n">
        <f aca="false">ROUND(E107*'Power Model'!$B$11,0)</f>
        <v>67350</v>
      </c>
      <c r="M107" s="19" t="n">
        <f aca="false">ROUND(J107*'Power Model'!$B$4*('Power Model'!$B$7*'Power Model'!$B$8+'Power Model'!$B$9)+E107*'Power Model'!$B$10/100,0)</f>
        <v>14948</v>
      </c>
      <c r="N107" s="19"/>
      <c r="O107" s="18" t="s">
        <v>440</v>
      </c>
      <c r="P107" s="18"/>
      <c r="Q107" s="18" t="s">
        <v>441</v>
      </c>
      <c r="R107" s="18" t="s">
        <v>421</v>
      </c>
    </row>
    <row r="108" customFormat="false" ht="41.75" hidden="false" customHeight="false" outlineLevel="0" collapsed="false">
      <c r="A108" s="18" t="s">
        <v>442</v>
      </c>
      <c r="B108" s="18" t="s">
        <v>443</v>
      </c>
      <c r="C108" s="18" t="s">
        <v>66</v>
      </c>
      <c r="D108" s="18" t="n">
        <v>5</v>
      </c>
      <c r="E108" s="19" t="n">
        <v>248600</v>
      </c>
      <c r="F108" s="19" t="n">
        <f aca="false">ROUND(E108*0.8,0)</f>
        <v>198880</v>
      </c>
      <c r="G108" s="18" t="n">
        <v>4</v>
      </c>
      <c r="H108" s="18" t="s">
        <v>67</v>
      </c>
      <c r="I108" s="18" t="n">
        <v>77</v>
      </c>
      <c r="J108" s="20" t="n">
        <f aca="false">'Power Model'!$B$3*2^(D108-2)</f>
        <v>8</v>
      </c>
      <c r="K108" s="19" t="n">
        <f aca="false">'Power Model'!$B$4*'Power Model'!$B$5*J108</f>
        <v>10752</v>
      </c>
      <c r="L108" s="19" t="n">
        <f aca="false">ROUND(E108*'Power Model'!$B$11,0)</f>
        <v>62150</v>
      </c>
      <c r="M108" s="19" t="n">
        <f aca="false">ROUND(J108*'Power Model'!$B$4*('Power Model'!$B$7*'Power Model'!$B$8+'Power Model'!$B$9)+E108*'Power Model'!$B$10/100,0)</f>
        <v>13908</v>
      </c>
      <c r="N108" s="19" t="n">
        <f aca="false">ROUND(K108*('Power Model'!$B$7*'Power Model'!$B$8+'Power Model'!$B$9),0)</f>
        <v>11827</v>
      </c>
      <c r="O108" s="18" t="s">
        <v>444</v>
      </c>
      <c r="P108" s="18"/>
      <c r="Q108" s="18" t="s">
        <v>445</v>
      </c>
      <c r="R108" s="18" t="s">
        <v>446</v>
      </c>
    </row>
    <row r="109" customFormat="false" ht="41.75" hidden="false" customHeight="false" outlineLevel="0" collapsed="false">
      <c r="A109" s="18" t="s">
        <v>447</v>
      </c>
      <c r="B109" s="18" t="s">
        <v>448</v>
      </c>
      <c r="C109" s="18" t="s">
        <v>66</v>
      </c>
      <c r="D109" s="18" t="n">
        <v>5</v>
      </c>
      <c r="E109" s="19" t="n">
        <v>259000</v>
      </c>
      <c r="F109" s="19" t="n">
        <f aca="false">ROUND(E109*0.8,0)</f>
        <v>207200</v>
      </c>
      <c r="G109" s="18" t="n">
        <v>5</v>
      </c>
      <c r="H109" s="18" t="s">
        <v>67</v>
      </c>
      <c r="I109" s="18" t="n">
        <v>80</v>
      </c>
      <c r="J109" s="20" t="n">
        <f aca="false">'Power Model'!$B$3*2^(D109-2)</f>
        <v>8</v>
      </c>
      <c r="K109" s="19" t="n">
        <f aca="false">'Power Model'!$B$4*'Power Model'!$B$5*J109</f>
        <v>10752</v>
      </c>
      <c r="L109" s="19" t="n">
        <f aca="false">ROUND(E109*'Power Model'!$B$11,0)</f>
        <v>64750</v>
      </c>
      <c r="M109" s="19" t="n">
        <f aca="false">ROUND(J109*'Power Model'!$B$4*('Power Model'!$B$7*'Power Model'!$B$8+'Power Model'!$B$9)+E109*'Power Model'!$B$10/100,0)</f>
        <v>14428</v>
      </c>
      <c r="N109" s="19" t="n">
        <f aca="false">ROUND(K109*('Power Model'!$B$7*'Power Model'!$B$8+'Power Model'!$B$9),0)</f>
        <v>11827</v>
      </c>
      <c r="O109" s="18" t="s">
        <v>449</v>
      </c>
      <c r="P109" s="18"/>
      <c r="Q109" s="18" t="s">
        <v>450</v>
      </c>
      <c r="R109" s="18" t="s">
        <v>446</v>
      </c>
    </row>
    <row r="110" customFormat="false" ht="55.2" hidden="false" customHeight="false" outlineLevel="0" collapsed="false">
      <c r="A110" s="18" t="s">
        <v>451</v>
      </c>
      <c r="B110" s="18" t="s">
        <v>452</v>
      </c>
      <c r="C110" s="18" t="s">
        <v>66</v>
      </c>
      <c r="D110" s="18" t="n">
        <v>5</v>
      </c>
      <c r="E110" s="19" t="n">
        <v>378600</v>
      </c>
      <c r="F110" s="19" t="n">
        <f aca="false">ROUND(E110*0.8,0)</f>
        <v>302880</v>
      </c>
      <c r="G110" s="18" t="n">
        <v>4</v>
      </c>
      <c r="H110" s="18" t="s">
        <v>67</v>
      </c>
      <c r="I110" s="18" t="n">
        <v>153</v>
      </c>
      <c r="J110" s="20" t="n">
        <f aca="false">'Power Model'!$B$3*2^(D110-2)</f>
        <v>8</v>
      </c>
      <c r="K110" s="19" t="n">
        <f aca="false">'Power Model'!$B$4*'Power Model'!$B$5*J110*'Power Model'!$B$12</f>
        <v>32256</v>
      </c>
      <c r="L110" s="19" t="n">
        <f aca="false">ROUND(E110*'Power Model'!$B$11,0)</f>
        <v>94650</v>
      </c>
      <c r="M110" s="19" t="n">
        <f aca="false">ROUND(J110*'Power Model'!$B$4*('Power Model'!$B$7*'Power Model'!$B$8+'Power Model'!$B$9)+E110*'Power Model'!$B$10/100,0)</f>
        <v>20408</v>
      </c>
      <c r="N110" s="19" t="n">
        <f aca="false">ROUND(K110*('Power Model'!$B$7*'Power Model'!$B$8+'Power Model'!$B$9),0)</f>
        <v>35482</v>
      </c>
      <c r="O110" s="18"/>
      <c r="P110" s="18"/>
      <c r="Q110" s="18" t="s">
        <v>453</v>
      </c>
      <c r="R110" s="18" t="s">
        <v>454</v>
      </c>
    </row>
    <row r="111" customFormat="false" ht="41.75" hidden="false" customHeight="false" outlineLevel="0" collapsed="false">
      <c r="A111" s="18" t="s">
        <v>455</v>
      </c>
      <c r="B111" s="18" t="s">
        <v>456</v>
      </c>
      <c r="C111" s="18" t="s">
        <v>45</v>
      </c>
      <c r="D111" s="18" t="n">
        <v>5</v>
      </c>
      <c r="E111" s="19" t="n">
        <v>196200</v>
      </c>
      <c r="F111" s="19" t="n">
        <f aca="false">ROUND(E111*0.8,0)</f>
        <v>156960</v>
      </c>
      <c r="G111" s="18" t="n">
        <v>6</v>
      </c>
      <c r="H111" s="18" t="s">
        <v>46</v>
      </c>
      <c r="I111" s="18" t="n">
        <v>120</v>
      </c>
      <c r="J111" s="20" t="n">
        <f aca="false">'Power Model'!$B$3*2^(D111-2)</f>
        <v>8</v>
      </c>
      <c r="K111" s="19"/>
      <c r="L111" s="19" t="n">
        <f aca="false">ROUND(E111*'Power Model'!$B$11,0)</f>
        <v>49050</v>
      </c>
      <c r="M111" s="19" t="n">
        <f aca="false">ROUND(J111*'Power Model'!$B$4*('Power Model'!$B$7*'Power Model'!$B$8+'Power Model'!$B$9)+E111*'Power Model'!$B$10/100,0)</f>
        <v>11288</v>
      </c>
      <c r="N111" s="19"/>
      <c r="O111" s="18" t="s">
        <v>366</v>
      </c>
      <c r="P111" s="18"/>
      <c r="Q111" s="18" t="s">
        <v>453</v>
      </c>
      <c r="R111" s="18" t="s">
        <v>457</v>
      </c>
    </row>
    <row r="112" customFormat="false" ht="41.75" hidden="false" customHeight="false" outlineLevel="0" collapsed="false">
      <c r="A112" s="18" t="s">
        <v>458</v>
      </c>
      <c r="B112" s="18" t="s">
        <v>459</v>
      </c>
      <c r="C112" s="18" t="s">
        <v>45</v>
      </c>
      <c r="D112" s="18" t="n">
        <v>5</v>
      </c>
      <c r="E112" s="19" t="n">
        <v>164200</v>
      </c>
      <c r="F112" s="19" t="n">
        <f aca="false">ROUND(E112*0.8,0)</f>
        <v>131360</v>
      </c>
      <c r="G112" s="18" t="n">
        <v>6</v>
      </c>
      <c r="H112" s="18" t="s">
        <v>46</v>
      </c>
      <c r="I112" s="18" t="n">
        <v>152</v>
      </c>
      <c r="J112" s="20" t="n">
        <f aca="false">'Power Model'!$B$3*2^(D112-2)</f>
        <v>8</v>
      </c>
      <c r="K112" s="19"/>
      <c r="L112" s="19" t="n">
        <f aca="false">ROUND(E112*'Power Model'!$B$11,0)</f>
        <v>41050</v>
      </c>
      <c r="M112" s="19" t="n">
        <f aca="false">ROUND(J112*'Power Model'!$B$4*('Power Model'!$B$7*'Power Model'!$B$8+'Power Model'!$B$9)+E112*'Power Model'!$B$10/100,0)</f>
        <v>9688</v>
      </c>
      <c r="N112" s="19"/>
      <c r="O112" s="18" t="s">
        <v>130</v>
      </c>
      <c r="P112" s="18"/>
      <c r="Q112" s="18" t="s">
        <v>453</v>
      </c>
      <c r="R112" s="18" t="s">
        <v>457</v>
      </c>
    </row>
    <row r="113" customFormat="false" ht="41.75" hidden="false" customHeight="false" outlineLevel="0" collapsed="false">
      <c r="A113" s="18" t="s">
        <v>460</v>
      </c>
      <c r="B113" s="18" t="s">
        <v>461</v>
      </c>
      <c r="C113" s="18" t="s">
        <v>50</v>
      </c>
      <c r="D113" s="18" t="n">
        <v>5</v>
      </c>
      <c r="E113" s="19" t="n">
        <v>248600</v>
      </c>
      <c r="F113" s="19" t="n">
        <f aca="false">ROUND(E113*0.8,0)</f>
        <v>198880</v>
      </c>
      <c r="G113" s="18" t="n">
        <v>5</v>
      </c>
      <c r="H113" s="18" t="s">
        <v>51</v>
      </c>
      <c r="I113" s="18" t="n">
        <v>77</v>
      </c>
      <c r="J113" s="20" t="n">
        <f aca="false">'Power Model'!$B$3*2^(D113-2)</f>
        <v>8</v>
      </c>
      <c r="K113" s="19"/>
      <c r="L113" s="19" t="n">
        <f aca="false">ROUND(E113*'Power Model'!$B$11,0)</f>
        <v>62150</v>
      </c>
      <c r="M113" s="19" t="n">
        <f aca="false">ROUND(J113*'Power Model'!$B$4*('Power Model'!$B$7*'Power Model'!$B$8+'Power Model'!$B$9)+E113*'Power Model'!$B$10/100,0)</f>
        <v>13908</v>
      </c>
      <c r="N113" s="19"/>
      <c r="O113" s="18" t="s">
        <v>462</v>
      </c>
      <c r="P113" s="18"/>
      <c r="Q113" s="18" t="s">
        <v>463</v>
      </c>
      <c r="R113" s="18" t="s">
        <v>421</v>
      </c>
    </row>
    <row r="114" customFormat="false" ht="41.75" hidden="false" customHeight="false" outlineLevel="0" collapsed="false">
      <c r="A114" s="18" t="s">
        <v>464</v>
      </c>
      <c r="B114" s="18" t="s">
        <v>465</v>
      </c>
      <c r="C114" s="18" t="s">
        <v>50</v>
      </c>
      <c r="D114" s="18" t="n">
        <v>5</v>
      </c>
      <c r="E114" s="19" t="n">
        <v>259000</v>
      </c>
      <c r="F114" s="19" t="n">
        <f aca="false">ROUND(E114*0.8,0)</f>
        <v>207200</v>
      </c>
      <c r="G114" s="18" t="n">
        <v>4</v>
      </c>
      <c r="H114" s="18" t="s">
        <v>51</v>
      </c>
      <c r="I114" s="18" t="n">
        <v>80</v>
      </c>
      <c r="J114" s="20" t="n">
        <f aca="false">'Power Model'!$B$3*2^(D114-2)</f>
        <v>8</v>
      </c>
      <c r="K114" s="19"/>
      <c r="L114" s="19" t="n">
        <f aca="false">ROUND(E114*'Power Model'!$B$11,0)</f>
        <v>64750</v>
      </c>
      <c r="M114" s="19" t="n">
        <f aca="false">ROUND(J114*'Power Model'!$B$4*('Power Model'!$B$7*'Power Model'!$B$8+'Power Model'!$B$9)+E114*'Power Model'!$B$10/100,0)</f>
        <v>14428</v>
      </c>
      <c r="N114" s="19"/>
      <c r="O114" s="18" t="s">
        <v>466</v>
      </c>
      <c r="P114" s="18"/>
      <c r="Q114" s="18" t="s">
        <v>467</v>
      </c>
      <c r="R114" s="18" t="s">
        <v>421</v>
      </c>
    </row>
    <row r="115" customFormat="false" ht="41.75" hidden="false" customHeight="false" outlineLevel="0" collapsed="false">
      <c r="A115" s="18" t="s">
        <v>468</v>
      </c>
      <c r="B115" s="18" t="s">
        <v>469</v>
      </c>
      <c r="C115" s="18" t="s">
        <v>50</v>
      </c>
      <c r="D115" s="18" t="n">
        <v>5</v>
      </c>
      <c r="E115" s="19" t="n">
        <v>269400</v>
      </c>
      <c r="F115" s="19" t="n">
        <f aca="false">ROUND(E115*0.8,0)</f>
        <v>215520</v>
      </c>
      <c r="G115" s="18" t="n">
        <v>5</v>
      </c>
      <c r="H115" s="18" t="s">
        <v>51</v>
      </c>
      <c r="I115" s="18" t="n">
        <v>83</v>
      </c>
      <c r="J115" s="20" t="n">
        <f aca="false">'Power Model'!$B$3*2^(D115-2)</f>
        <v>8</v>
      </c>
      <c r="K115" s="19"/>
      <c r="L115" s="19" t="n">
        <f aca="false">ROUND(E115*'Power Model'!$B$11,0)</f>
        <v>67350</v>
      </c>
      <c r="M115" s="19" t="n">
        <f aca="false">ROUND(J115*'Power Model'!$B$4*('Power Model'!$B$7*'Power Model'!$B$8+'Power Model'!$B$9)+E115*'Power Model'!$B$10/100,0)</f>
        <v>14948</v>
      </c>
      <c r="N115" s="19"/>
      <c r="O115" s="18" t="s">
        <v>470</v>
      </c>
      <c r="P115" s="18"/>
      <c r="Q115" s="18" t="s">
        <v>471</v>
      </c>
      <c r="R115" s="18" t="s">
        <v>421</v>
      </c>
    </row>
    <row r="116" customFormat="false" ht="41.75" hidden="false" customHeight="false" outlineLevel="0" collapsed="false">
      <c r="A116" s="18" t="s">
        <v>472</v>
      </c>
      <c r="B116" s="18" t="s">
        <v>473</v>
      </c>
      <c r="C116" s="18" t="s">
        <v>56</v>
      </c>
      <c r="D116" s="18" t="n">
        <v>5</v>
      </c>
      <c r="E116" s="19" t="n">
        <v>248600</v>
      </c>
      <c r="F116" s="19" t="n">
        <f aca="false">ROUND(E116*0.8,0)</f>
        <v>198880</v>
      </c>
      <c r="G116" s="18" t="n">
        <v>4</v>
      </c>
      <c r="H116" s="18" t="s">
        <v>51</v>
      </c>
      <c r="I116" s="18" t="n">
        <v>77</v>
      </c>
      <c r="J116" s="20" t="n">
        <f aca="false">'Power Model'!$B$3*2^(D116-2)</f>
        <v>8</v>
      </c>
      <c r="K116" s="19"/>
      <c r="L116" s="19" t="n">
        <f aca="false">ROUND(E116*'Power Model'!$B$11,0)</f>
        <v>62150</v>
      </c>
      <c r="M116" s="19" t="n">
        <f aca="false">ROUND(J116*'Power Model'!$B$4*('Power Model'!$B$7*'Power Model'!$B$8+'Power Model'!$B$9)+E116*'Power Model'!$B$10/100,0)</f>
        <v>13908</v>
      </c>
      <c r="N116" s="19"/>
      <c r="O116" s="18" t="s">
        <v>474</v>
      </c>
      <c r="P116" s="18"/>
      <c r="Q116" s="18" t="s">
        <v>475</v>
      </c>
      <c r="R116" s="18" t="s">
        <v>421</v>
      </c>
    </row>
    <row r="117" customFormat="false" ht="41.75" hidden="false" customHeight="false" outlineLevel="0" collapsed="false">
      <c r="A117" s="18" t="s">
        <v>476</v>
      </c>
      <c r="B117" s="18" t="s">
        <v>477</v>
      </c>
      <c r="C117" s="18" t="s">
        <v>56</v>
      </c>
      <c r="D117" s="18" t="n">
        <v>5</v>
      </c>
      <c r="E117" s="19" t="n">
        <v>259000</v>
      </c>
      <c r="F117" s="19" t="n">
        <f aca="false">ROUND(E117*0.8,0)</f>
        <v>207200</v>
      </c>
      <c r="G117" s="18" t="n">
        <v>5</v>
      </c>
      <c r="H117" s="18" t="s">
        <v>51</v>
      </c>
      <c r="I117" s="18" t="n">
        <v>80</v>
      </c>
      <c r="J117" s="20" t="n">
        <f aca="false">'Power Model'!$B$3*2^(D117-2)</f>
        <v>8</v>
      </c>
      <c r="K117" s="19"/>
      <c r="L117" s="19" t="n">
        <f aca="false">ROUND(E117*'Power Model'!$B$11,0)</f>
        <v>64750</v>
      </c>
      <c r="M117" s="19" t="n">
        <f aca="false">ROUND(J117*'Power Model'!$B$4*('Power Model'!$B$7*'Power Model'!$B$8+'Power Model'!$B$9)+E117*'Power Model'!$B$10/100,0)</f>
        <v>14428</v>
      </c>
      <c r="N117" s="19"/>
      <c r="O117" s="18" t="s">
        <v>478</v>
      </c>
      <c r="P117" s="18"/>
      <c r="Q117" s="18" t="s">
        <v>479</v>
      </c>
      <c r="R117" s="18" t="s">
        <v>421</v>
      </c>
    </row>
    <row r="118" customFormat="false" ht="41.75" hidden="false" customHeight="false" outlineLevel="0" collapsed="false">
      <c r="A118" s="18" t="s">
        <v>480</v>
      </c>
      <c r="B118" s="18" t="s">
        <v>481</v>
      </c>
      <c r="C118" s="18" t="s">
        <v>56</v>
      </c>
      <c r="D118" s="18" t="n">
        <v>5</v>
      </c>
      <c r="E118" s="19" t="n">
        <v>269400</v>
      </c>
      <c r="F118" s="19" t="n">
        <f aca="false">ROUND(E118*0.8,0)</f>
        <v>215520</v>
      </c>
      <c r="G118" s="18" t="n">
        <v>4</v>
      </c>
      <c r="H118" s="18" t="s">
        <v>51</v>
      </c>
      <c r="I118" s="18" t="n">
        <v>83</v>
      </c>
      <c r="J118" s="20" t="n">
        <f aca="false">'Power Model'!$B$3*2^(D118-2)</f>
        <v>8</v>
      </c>
      <c r="K118" s="19"/>
      <c r="L118" s="19" t="n">
        <f aca="false">ROUND(E118*'Power Model'!$B$11,0)</f>
        <v>67350</v>
      </c>
      <c r="M118" s="19" t="n">
        <f aca="false">ROUND(J118*'Power Model'!$B$4*('Power Model'!$B$7*'Power Model'!$B$8+'Power Model'!$B$9)+E118*'Power Model'!$B$10/100,0)</f>
        <v>14948</v>
      </c>
      <c r="N118" s="19"/>
      <c r="O118" s="18" t="s">
        <v>482</v>
      </c>
      <c r="P118" s="18"/>
      <c r="Q118" s="18" t="s">
        <v>483</v>
      </c>
      <c r="R118" s="18" t="s">
        <v>421</v>
      </c>
    </row>
    <row r="119" customFormat="false" ht="41.75" hidden="false" customHeight="false" outlineLevel="0" collapsed="false">
      <c r="A119" s="18" t="s">
        <v>484</v>
      </c>
      <c r="B119" s="18" t="s">
        <v>485</v>
      </c>
      <c r="C119" s="18" t="s">
        <v>61</v>
      </c>
      <c r="D119" s="18" t="n">
        <v>5</v>
      </c>
      <c r="E119" s="19" t="n">
        <v>248600</v>
      </c>
      <c r="F119" s="19" t="n">
        <f aca="false">ROUND(E119*0.8,0)</f>
        <v>198880</v>
      </c>
      <c r="G119" s="18" t="n">
        <v>5</v>
      </c>
      <c r="H119" s="18" t="s">
        <v>62</v>
      </c>
      <c r="I119" s="18" t="n">
        <v>77</v>
      </c>
      <c r="J119" s="20" t="n">
        <f aca="false">'Power Model'!$B$3*2^(D119-2)</f>
        <v>8</v>
      </c>
      <c r="K119" s="19"/>
      <c r="L119" s="19" t="n">
        <f aca="false">ROUND(E119*'Power Model'!$B$11,0)</f>
        <v>62150</v>
      </c>
      <c r="M119" s="19" t="n">
        <f aca="false">ROUND(J119*'Power Model'!$B$4*('Power Model'!$B$7*'Power Model'!$B$8+'Power Model'!$B$9)+E119*'Power Model'!$B$10/100,0)</f>
        <v>13908</v>
      </c>
      <c r="N119" s="19"/>
      <c r="O119" s="18" t="s">
        <v>486</v>
      </c>
      <c r="P119" s="18"/>
      <c r="Q119" s="18" t="s">
        <v>487</v>
      </c>
      <c r="R119" s="18" t="s">
        <v>421</v>
      </c>
    </row>
    <row r="120" customFormat="false" ht="41.75" hidden="false" customHeight="false" outlineLevel="0" collapsed="false">
      <c r="A120" s="18" t="s">
        <v>488</v>
      </c>
      <c r="B120" s="18" t="s">
        <v>489</v>
      </c>
      <c r="C120" s="18" t="s">
        <v>61</v>
      </c>
      <c r="D120" s="18" t="n">
        <v>5</v>
      </c>
      <c r="E120" s="19" t="n">
        <v>259000</v>
      </c>
      <c r="F120" s="19" t="n">
        <f aca="false">ROUND(E120*0.8,0)</f>
        <v>207200</v>
      </c>
      <c r="G120" s="18" t="n">
        <v>4</v>
      </c>
      <c r="H120" s="18" t="s">
        <v>62</v>
      </c>
      <c r="I120" s="18" t="n">
        <v>80</v>
      </c>
      <c r="J120" s="20" t="n">
        <f aca="false">'Power Model'!$B$3*2^(D120-2)</f>
        <v>8</v>
      </c>
      <c r="K120" s="19"/>
      <c r="L120" s="19" t="n">
        <f aca="false">ROUND(E120*'Power Model'!$B$11,0)</f>
        <v>64750</v>
      </c>
      <c r="M120" s="19" t="n">
        <f aca="false">ROUND(J120*'Power Model'!$B$4*('Power Model'!$B$7*'Power Model'!$B$8+'Power Model'!$B$9)+E120*'Power Model'!$B$10/100,0)</f>
        <v>14428</v>
      </c>
      <c r="N120" s="19"/>
      <c r="O120" s="18" t="s">
        <v>490</v>
      </c>
      <c r="P120" s="18"/>
      <c r="Q120" s="18" t="s">
        <v>491</v>
      </c>
      <c r="R120" s="18" t="s">
        <v>421</v>
      </c>
    </row>
    <row r="121" customFormat="false" ht="41.75" hidden="false" customHeight="false" outlineLevel="0" collapsed="false">
      <c r="A121" s="18" t="s">
        <v>492</v>
      </c>
      <c r="B121" s="18" t="s">
        <v>493</v>
      </c>
      <c r="C121" s="18" t="s">
        <v>61</v>
      </c>
      <c r="D121" s="18" t="n">
        <v>5</v>
      </c>
      <c r="E121" s="19" t="n">
        <v>269400</v>
      </c>
      <c r="F121" s="19" t="n">
        <f aca="false">ROUND(E121*0.8,0)</f>
        <v>215520</v>
      </c>
      <c r="G121" s="18" t="n">
        <v>5</v>
      </c>
      <c r="H121" s="18" t="s">
        <v>62</v>
      </c>
      <c r="I121" s="18" t="n">
        <v>83</v>
      </c>
      <c r="J121" s="20" t="n">
        <f aca="false">'Power Model'!$B$3*2^(D121-2)</f>
        <v>8</v>
      </c>
      <c r="K121" s="19"/>
      <c r="L121" s="19" t="n">
        <f aca="false">ROUND(E121*'Power Model'!$B$11,0)</f>
        <v>67350</v>
      </c>
      <c r="M121" s="19" t="n">
        <f aca="false">ROUND(J121*'Power Model'!$B$4*('Power Model'!$B$7*'Power Model'!$B$8+'Power Model'!$B$9)+E121*'Power Model'!$B$10/100,0)</f>
        <v>14948</v>
      </c>
      <c r="N121" s="19"/>
      <c r="O121" s="18" t="s">
        <v>494</v>
      </c>
      <c r="P121" s="18"/>
      <c r="Q121" s="18" t="s">
        <v>495</v>
      </c>
      <c r="R121" s="18" t="s">
        <v>421</v>
      </c>
    </row>
    <row r="122" customFormat="false" ht="55.2" hidden="false" customHeight="false" outlineLevel="0" collapsed="false">
      <c r="A122" s="18" t="s">
        <v>496</v>
      </c>
      <c r="B122" s="18" t="s">
        <v>497</v>
      </c>
      <c r="C122" s="18" t="s">
        <v>17</v>
      </c>
      <c r="D122" s="18" t="n">
        <v>5</v>
      </c>
      <c r="E122" s="19" t="n">
        <v>330000</v>
      </c>
      <c r="F122" s="19" t="n">
        <f aca="false">ROUND(E122*0.8,0)</f>
        <v>264000</v>
      </c>
      <c r="G122" s="18" t="n">
        <v>4</v>
      </c>
      <c r="H122" s="18" t="s">
        <v>18</v>
      </c>
      <c r="I122" s="18" t="n">
        <v>150</v>
      </c>
      <c r="J122" s="20" t="n">
        <f aca="false">'Power Model'!$B$3*2^(D122-2)</f>
        <v>8</v>
      </c>
      <c r="K122" s="19"/>
      <c r="L122" s="19" t="n">
        <f aca="false">ROUND(E122*'Power Model'!$B$11,0)</f>
        <v>82500</v>
      </c>
      <c r="M122" s="19" t="n">
        <f aca="false">ROUND(J122*'Power Model'!$B$4*('Power Model'!$B$7*'Power Model'!$B$8+'Power Model'!$B$9)+E122*'Power Model'!$B$10/100,0)</f>
        <v>17978</v>
      </c>
      <c r="N122" s="19"/>
      <c r="O122" s="18"/>
      <c r="P122" s="18" t="n">
        <v>14</v>
      </c>
      <c r="Q122" s="18" t="s">
        <v>453</v>
      </c>
      <c r="R122" s="18" t="s">
        <v>498</v>
      </c>
    </row>
  </sheetData>
  <autoFilter ref="A1:R1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21" t="s">
        <v>499</v>
      </c>
    </row>
    <row r="3" customFormat="false" ht="15" hidden="false" customHeight="false" outlineLevel="0" collapsed="false">
      <c r="A3" s="0" t="s">
        <v>500</v>
      </c>
      <c r="B3" s="22" t="n">
        <v>1</v>
      </c>
      <c r="C3" s="23" t="s">
        <v>501</v>
      </c>
    </row>
    <row r="4" customFormat="false" ht="15" hidden="false" customHeight="false" outlineLevel="0" collapsed="false">
      <c r="A4" s="0" t="s">
        <v>502</v>
      </c>
      <c r="B4" s="22" t="n">
        <v>168</v>
      </c>
    </row>
    <row r="5" customFormat="false" ht="15" hidden="false" customHeight="false" outlineLevel="0" collapsed="false">
      <c r="A5" s="0" t="s">
        <v>503</v>
      </c>
      <c r="B5" s="22" t="n">
        <v>8</v>
      </c>
      <c r="C5" s="23" t="s">
        <v>504</v>
      </c>
    </row>
    <row r="6" customFormat="false" ht="15" hidden="false" customHeight="false" outlineLevel="0" collapsed="false">
      <c r="A6" s="0" t="s">
        <v>505</v>
      </c>
      <c r="B6" s="0" t="n">
        <f aca="false">B3*B4*B5</f>
        <v>1344</v>
      </c>
      <c r="C6" s="0" t="e">
        <f aca="false">week x rig size x draw. an all-improved rig drains it in exactly one week.</f>
        <v>#VALUE!</v>
      </c>
    </row>
    <row r="7" customFormat="false" ht="15" hidden="false" customHeight="false" outlineLevel="0" collapsed="false">
      <c r="A7" s="0" t="s">
        <v>506</v>
      </c>
      <c r="B7" s="22" t="n">
        <v>1</v>
      </c>
      <c r="C7" s="23" t="s">
        <v>507</v>
      </c>
    </row>
    <row r="8" customFormat="false" ht="15" hidden="false" customHeight="false" outlineLevel="0" collapsed="false">
      <c r="A8" s="0" t="s">
        <v>508</v>
      </c>
      <c r="B8" s="22" t="n">
        <v>1</v>
      </c>
      <c r="C8" s="23" t="s">
        <v>509</v>
      </c>
    </row>
    <row r="9" customFormat="false" ht="15" hidden="false" customHeight="false" outlineLevel="0" collapsed="false">
      <c r="A9" s="0" t="s">
        <v>510</v>
      </c>
      <c r="B9" s="22" t="n">
        <v>0.1</v>
      </c>
      <c r="C9" s="23" t="s">
        <v>511</v>
      </c>
    </row>
    <row r="10" customFormat="false" ht="15" hidden="false" customHeight="false" outlineLevel="0" collapsed="false">
      <c r="A10" s="0" t="s">
        <v>512</v>
      </c>
      <c r="B10" s="22" t="n">
        <v>5</v>
      </c>
      <c r="C10" s="23" t="s">
        <v>513</v>
      </c>
    </row>
    <row r="11" customFormat="false" ht="15" hidden="false" customHeight="false" outlineLevel="0" collapsed="false">
      <c r="A11" s="0" t="s">
        <v>514</v>
      </c>
      <c r="B11" s="22" t="n">
        <v>0.25</v>
      </c>
      <c r="C11" s="23" t="s">
        <v>515</v>
      </c>
    </row>
    <row r="12" customFormat="false" ht="15" hidden="false" customHeight="false" outlineLevel="0" collapsed="false">
      <c r="A12" s="0" t="s">
        <v>516</v>
      </c>
      <c r="B12" s="22" t="n">
        <v>3</v>
      </c>
      <c r="C12" s="23" t="s">
        <v>517</v>
      </c>
    </row>
    <row r="14" customFormat="false" ht="15" hidden="false" customHeight="false" outlineLevel="0" collapsed="false">
      <c r="A14" s="0" t="s">
        <v>518</v>
      </c>
      <c r="B14" s="0" t="n">
        <f aca="false">B6/(B5*B3)</f>
        <v>168</v>
      </c>
      <c r="C14" s="0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0" t="s">
        <v>520</v>
      </c>
    </row>
    <row r="2" customFormat="false" ht="15" hidden="false" customHeight="false" outlineLevel="0" collapsed="false">
      <c r="A2" s="0" t="s">
        <v>521</v>
      </c>
    </row>
    <row r="3" customFormat="false" ht="15" hidden="false" customHeight="false" outlineLevel="0" collapsed="false">
      <c r="A3" s="0" t="s">
        <v>522</v>
      </c>
    </row>
    <row r="4" customFormat="false" ht="15" hidden="false" customHeight="false" outlineLevel="0" collapsed="false">
      <c r="A4" s="0" t="s">
        <v>523</v>
      </c>
    </row>
    <row r="5" customFormat="false" ht="15" hidden="false" customHeight="false" outlineLevel="0" collapsed="false">
      <c r="A5" s="0" t="s">
        <v>524</v>
      </c>
    </row>
    <row r="6" customFormat="false" ht="15" hidden="false" customHeight="false" outlineLevel="0" collapsed="false">
      <c r="A6" s="0" t="s">
        <v>525</v>
      </c>
    </row>
    <row r="7" customFormat="false" ht="15" hidden="false" customHeight="false" outlineLevel="0" collapsed="false">
      <c r="A7" s="0" t="s">
        <v>526</v>
      </c>
    </row>
    <row r="8" customFormat="false" ht="15" hidden="false" customHeight="false" outlineLevel="0" collapsed="false">
      <c r="A8" s="0" t="s">
        <v>527</v>
      </c>
    </row>
    <row r="9" customFormat="false" ht="15" hidden="false" customHeight="false" outlineLevel="0" collapsed="false">
      <c r="A9" s="0" t="s">
        <v>528</v>
      </c>
    </row>
    <row r="10" customFormat="false" ht="15" hidden="false" customHeight="false" outlineLevel="0" collapsed="false">
      <c r="A10" s="0" t="s">
        <v>529</v>
      </c>
    </row>
    <row r="11" customFormat="false" ht="15" hidden="false" customHeight="false" outlineLevel="0" collapsed="false">
      <c r="A11" s="0" t="s">
        <v>530</v>
      </c>
    </row>
    <row r="12" customFormat="false" ht="15" hidden="false" customHeight="false" outlineLevel="0" collapsed="false">
      <c r="A12" s="0" t="s">
        <v>531</v>
      </c>
    </row>
    <row r="13" customFormat="false" ht="15" hidden="false" customHeight="false" outlineLevel="0" collapsed="false">
      <c r="A13" s="0" t="s">
        <v>532</v>
      </c>
    </row>
    <row r="14" customFormat="false" ht="15" hidden="false" customHeight="false" outlineLevel="0" collapsed="false">
      <c r="A14" s="0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2026-10-27T19:09:24Z</dcterms:created>
  <dc:creator>openpyxl</dc:creator>
  <dc:description/>
  <dc:language>en-US</dc:language>
  <cp:lastModifiedBy/>
  <dcterms:modified xsi:type="dcterms:W3CDTF">2026-10-27T20:51:14Z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